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pan\Desktop\"/>
    </mc:Choice>
  </mc:AlternateContent>
  <xr:revisionPtr revIDLastSave="0" documentId="13_ncr:1_{0CE2A927-B2DB-42C3-97F9-EDAFA8B451FE}" xr6:coauthVersionLast="45" xr6:coauthVersionMax="45" xr10:uidLastSave="{00000000-0000-0000-0000-000000000000}"/>
  <bookViews>
    <workbookView xWindow="-120" yWindow="-16320" windowWidth="29040" windowHeight="15840" xr2:uid="{00000000-000D-0000-FFFF-FFFF00000000}"/>
  </bookViews>
  <sheets>
    <sheet name="WTP" sheetId="20" r:id="rId1"/>
    <sheet name="Internal" sheetId="23" r:id="rId2"/>
    <sheet name="External" sheetId="22" r:id="rId3"/>
    <sheet name="Sheet1" sheetId="21" r:id="rId4"/>
  </sheets>
  <definedNames>
    <definedName name="ExternalData_1" localSheetId="0" hidden="1">WTP!#REF!</definedName>
    <definedName name="_xlnm.Print_Area" localSheetId="2">External!$A$1:$F$55</definedName>
    <definedName name="_xlnm.Print_Area" localSheetId="1">Internal!$A$1:$F$55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20" l="1"/>
  <c r="I543" i="20" l="1"/>
  <c r="K543" i="20" s="1"/>
  <c r="H563" i="20" s="1"/>
  <c r="L563" i="20" s="1"/>
  <c r="J563" i="20" l="1"/>
  <c r="B7" i="22"/>
  <c r="B17" i="23"/>
  <c r="B7" i="23"/>
  <c r="A53" i="23" s="1"/>
  <c r="J169" i="20"/>
  <c r="I169" i="20"/>
  <c r="K169" i="20" s="1"/>
  <c r="J168" i="20"/>
  <c r="I168" i="20"/>
  <c r="K168" i="20" s="1"/>
  <c r="J172" i="20"/>
  <c r="I172" i="20"/>
  <c r="K172" i="20" s="1"/>
  <c r="J80" i="20" l="1"/>
  <c r="I80" i="20"/>
  <c r="K80" i="20" s="1"/>
  <c r="J63" i="20" l="1"/>
  <c r="I63" i="20"/>
  <c r="K63" i="20" s="1"/>
  <c r="J64" i="20"/>
  <c r="I64" i="20"/>
  <c r="K64" i="20" s="1"/>
  <c r="J65" i="20"/>
  <c r="I65" i="20"/>
  <c r="K65" i="20" s="1"/>
  <c r="J62" i="20"/>
  <c r="I62" i="20"/>
  <c r="K62" i="20" s="1"/>
  <c r="F31" i="23" l="1"/>
  <c r="A30" i="23"/>
  <c r="A29" i="23"/>
  <c r="A28" i="23"/>
  <c r="A27" i="23"/>
  <c r="A26" i="23"/>
  <c r="A25" i="23"/>
  <c r="A24" i="23"/>
  <c r="A23" i="23"/>
  <c r="A22" i="23"/>
  <c r="A21" i="23"/>
  <c r="A20" i="23"/>
  <c r="F6" i="23"/>
  <c r="A30" i="22" l="1"/>
  <c r="A29" i="22"/>
  <c r="A28" i="22"/>
  <c r="A27" i="22"/>
  <c r="A26" i="22"/>
  <c r="A25" i="22"/>
  <c r="A24" i="22"/>
  <c r="A23" i="22"/>
  <c r="A22" i="22"/>
  <c r="A21" i="22"/>
  <c r="A20" i="22"/>
  <c r="A53" i="22"/>
  <c r="F31" i="22"/>
  <c r="F6" i="22"/>
  <c r="K37" i="21" l="1"/>
  <c r="L37" i="21"/>
  <c r="M37" i="21"/>
  <c r="N37" i="21"/>
  <c r="J37" i="21"/>
  <c r="J42" i="20" l="1"/>
  <c r="I42" i="20"/>
  <c r="K42" i="20" s="1"/>
  <c r="J41" i="20"/>
  <c r="I41" i="20"/>
  <c r="K41" i="20" s="1"/>
  <c r="J40" i="20"/>
  <c r="I40" i="20"/>
  <c r="K40" i="20" s="1"/>
  <c r="U519" i="20" l="1"/>
  <c r="J519" i="20"/>
  <c r="I519" i="20"/>
  <c r="K519" i="20" s="1"/>
  <c r="J412" i="20"/>
  <c r="I412" i="20"/>
  <c r="K412" i="20" s="1"/>
  <c r="U542" i="20" l="1"/>
  <c r="I542" i="20"/>
  <c r="K542" i="20" s="1"/>
  <c r="H562" i="20" s="1"/>
  <c r="U541" i="20"/>
  <c r="I540" i="20"/>
  <c r="K540" i="20" s="1"/>
  <c r="I539" i="20"/>
  <c r="K539" i="20" s="1"/>
  <c r="H558" i="20" s="1"/>
  <c r="I538" i="20"/>
  <c r="K538" i="20" s="1"/>
  <c r="I537" i="20"/>
  <c r="K537" i="20" s="1"/>
  <c r="H556" i="20" s="1"/>
  <c r="U536" i="20"/>
  <c r="I536" i="20"/>
  <c r="K536" i="20" s="1"/>
  <c r="H554" i="20" s="1"/>
  <c r="U535" i="20"/>
  <c r="I535" i="20"/>
  <c r="K535" i="20" s="1"/>
  <c r="H557" i="20" s="1"/>
  <c r="U534" i="20"/>
  <c r="I534" i="20"/>
  <c r="U533" i="20"/>
  <c r="I533" i="20"/>
  <c r="K533" i="20" s="1"/>
  <c r="U532" i="20"/>
  <c r="I528" i="20"/>
  <c r="K528" i="20" s="1"/>
  <c r="I527" i="20"/>
  <c r="K527" i="20" s="1"/>
  <c r="J526" i="20"/>
  <c r="I526" i="20"/>
  <c r="K526" i="20" s="1"/>
  <c r="J525" i="20"/>
  <c r="I525" i="20"/>
  <c r="U524" i="20"/>
  <c r="J517" i="20"/>
  <c r="I517" i="20"/>
  <c r="K517" i="20" s="1"/>
  <c r="U516" i="20"/>
  <c r="J516" i="20"/>
  <c r="I516" i="20"/>
  <c r="K516" i="20" s="1"/>
  <c r="U515" i="20"/>
  <c r="J515" i="20"/>
  <c r="I515" i="20"/>
  <c r="K515" i="20" s="1"/>
  <c r="J513" i="20"/>
  <c r="I513" i="20"/>
  <c r="K513" i="20" s="1"/>
  <c r="J512" i="20"/>
  <c r="I512" i="20"/>
  <c r="K512" i="20" s="1"/>
  <c r="U511" i="20"/>
  <c r="J511" i="20"/>
  <c r="I511" i="20"/>
  <c r="U507" i="20"/>
  <c r="J505" i="20"/>
  <c r="I505" i="20"/>
  <c r="K505" i="20" s="1"/>
  <c r="J504" i="20"/>
  <c r="I504" i="20"/>
  <c r="K504" i="20" s="1"/>
  <c r="J503" i="20"/>
  <c r="I503" i="20"/>
  <c r="K503" i="20" s="1"/>
  <c r="U502" i="20"/>
  <c r="J501" i="20"/>
  <c r="I501" i="20"/>
  <c r="K501" i="20" s="1"/>
  <c r="J500" i="20"/>
  <c r="I500" i="20"/>
  <c r="K500" i="20" s="1"/>
  <c r="J499" i="20"/>
  <c r="I499" i="20"/>
  <c r="K499" i="20" s="1"/>
  <c r="J498" i="20"/>
  <c r="I498" i="20"/>
  <c r="K498" i="20" s="1"/>
  <c r="J497" i="20"/>
  <c r="I497" i="20"/>
  <c r="K497" i="20" s="1"/>
  <c r="J495" i="20"/>
  <c r="I495" i="20"/>
  <c r="K495" i="20" s="1"/>
  <c r="J493" i="20"/>
  <c r="I493" i="20"/>
  <c r="K493" i="20" s="1"/>
  <c r="J491" i="20"/>
  <c r="I491" i="20"/>
  <c r="K491" i="20" s="1"/>
  <c r="J489" i="20"/>
  <c r="I489" i="20"/>
  <c r="K489" i="20" s="1"/>
  <c r="J488" i="20"/>
  <c r="I488" i="20"/>
  <c r="K488" i="20" s="1"/>
  <c r="U487" i="20"/>
  <c r="J487" i="20"/>
  <c r="I487" i="20"/>
  <c r="K487" i="20" s="1"/>
  <c r="J486" i="20"/>
  <c r="I486" i="20"/>
  <c r="K486" i="20" s="1"/>
  <c r="J485" i="20"/>
  <c r="I485" i="20"/>
  <c r="K485" i="20" s="1"/>
  <c r="J484" i="20"/>
  <c r="I484" i="20"/>
  <c r="K484" i="20" s="1"/>
  <c r="J483" i="20"/>
  <c r="I483" i="20"/>
  <c r="K483" i="20" s="1"/>
  <c r="J482" i="20"/>
  <c r="I482" i="20"/>
  <c r="K482" i="20" s="1"/>
  <c r="J481" i="20"/>
  <c r="I481" i="20"/>
  <c r="K481" i="20" s="1"/>
  <c r="J480" i="20"/>
  <c r="I480" i="20"/>
  <c r="K480" i="20" s="1"/>
  <c r="J479" i="20"/>
  <c r="I479" i="20"/>
  <c r="K479" i="20" s="1"/>
  <c r="J478" i="20"/>
  <c r="I478" i="20"/>
  <c r="K478" i="20" s="1"/>
  <c r="J476" i="20"/>
  <c r="I476" i="20"/>
  <c r="K476" i="20" s="1"/>
  <c r="J475" i="20"/>
  <c r="I475" i="20"/>
  <c r="K475" i="20" s="1"/>
  <c r="J474" i="20"/>
  <c r="I474" i="20"/>
  <c r="K474" i="20" s="1"/>
  <c r="J473" i="20"/>
  <c r="I473" i="20"/>
  <c r="K473" i="20" s="1"/>
  <c r="J472" i="20"/>
  <c r="I472" i="20"/>
  <c r="K472" i="20" s="1"/>
  <c r="J471" i="20"/>
  <c r="I471" i="20"/>
  <c r="K471" i="20" s="1"/>
  <c r="J470" i="20"/>
  <c r="I470" i="20"/>
  <c r="K470" i="20" s="1"/>
  <c r="J469" i="20"/>
  <c r="I469" i="20"/>
  <c r="K469" i="20" s="1"/>
  <c r="U468" i="20"/>
  <c r="J468" i="20"/>
  <c r="I468" i="20"/>
  <c r="K468" i="20" s="1"/>
  <c r="U467" i="20"/>
  <c r="J467" i="20"/>
  <c r="I467" i="20"/>
  <c r="K467" i="20" s="1"/>
  <c r="J466" i="20"/>
  <c r="I466" i="20"/>
  <c r="K466" i="20" s="1"/>
  <c r="J465" i="20"/>
  <c r="I465" i="20"/>
  <c r="K465" i="20" s="1"/>
  <c r="J463" i="20"/>
  <c r="I463" i="20"/>
  <c r="K463" i="20" s="1"/>
  <c r="J457" i="20"/>
  <c r="I457" i="20"/>
  <c r="K457" i="20" s="1"/>
  <c r="J455" i="20"/>
  <c r="I455" i="20"/>
  <c r="K455" i="20" s="1"/>
  <c r="J453" i="20"/>
  <c r="I453" i="20"/>
  <c r="K453" i="20" s="1"/>
  <c r="J452" i="20"/>
  <c r="I452" i="20"/>
  <c r="K452" i="20" s="1"/>
  <c r="J451" i="20"/>
  <c r="I451" i="20"/>
  <c r="K451" i="20" s="1"/>
  <c r="J450" i="20"/>
  <c r="I450" i="20"/>
  <c r="K450" i="20" s="1"/>
  <c r="J449" i="20"/>
  <c r="I449" i="20"/>
  <c r="K449" i="20" s="1"/>
  <c r="J448" i="20"/>
  <c r="I448" i="20"/>
  <c r="K448" i="20" s="1"/>
  <c r="J447" i="20"/>
  <c r="I447" i="20"/>
  <c r="K447" i="20" s="1"/>
  <c r="J446" i="20"/>
  <c r="I446" i="20"/>
  <c r="K446" i="20" s="1"/>
  <c r="J444" i="20"/>
  <c r="I444" i="20"/>
  <c r="K444" i="20" s="1"/>
  <c r="J442" i="20"/>
  <c r="I442" i="20"/>
  <c r="K442" i="20" s="1"/>
  <c r="J441" i="20"/>
  <c r="I441" i="20"/>
  <c r="K441" i="20" s="1"/>
  <c r="J440" i="20"/>
  <c r="I440" i="20"/>
  <c r="K440" i="20" s="1"/>
  <c r="J439" i="20"/>
  <c r="I439" i="20"/>
  <c r="K439" i="20" s="1"/>
  <c r="J437" i="20"/>
  <c r="I437" i="20"/>
  <c r="K437" i="20" s="1"/>
  <c r="J436" i="20"/>
  <c r="I436" i="20"/>
  <c r="K436" i="20" s="1"/>
  <c r="J435" i="20"/>
  <c r="I435" i="20"/>
  <c r="K435" i="20" s="1"/>
  <c r="J432" i="20"/>
  <c r="I432" i="20"/>
  <c r="K432" i="20" s="1"/>
  <c r="J431" i="20"/>
  <c r="I431" i="20"/>
  <c r="K431" i="20" s="1"/>
  <c r="J430" i="20"/>
  <c r="I430" i="20"/>
  <c r="K430" i="20" s="1"/>
  <c r="J429" i="20"/>
  <c r="I429" i="20"/>
  <c r="K429" i="20" s="1"/>
  <c r="J428" i="20"/>
  <c r="I428" i="20"/>
  <c r="K428" i="20" s="1"/>
  <c r="J427" i="20"/>
  <c r="I427" i="20"/>
  <c r="K427" i="20" s="1"/>
  <c r="J426" i="20"/>
  <c r="I426" i="20"/>
  <c r="K426" i="20" s="1"/>
  <c r="J425" i="20"/>
  <c r="I425" i="20"/>
  <c r="K425" i="20" s="1"/>
  <c r="J424" i="20"/>
  <c r="I424" i="20"/>
  <c r="K424" i="20" s="1"/>
  <c r="J423" i="20"/>
  <c r="I423" i="20"/>
  <c r="K423" i="20" s="1"/>
  <c r="J422" i="20"/>
  <c r="I422" i="20"/>
  <c r="K422" i="20" s="1"/>
  <c r="J421" i="20"/>
  <c r="I421" i="20"/>
  <c r="K421" i="20" s="1"/>
  <c r="J420" i="20"/>
  <c r="I420" i="20"/>
  <c r="K420" i="20" s="1"/>
  <c r="J419" i="20"/>
  <c r="I419" i="20"/>
  <c r="K419" i="20" s="1"/>
  <c r="J418" i="20"/>
  <c r="I418" i="20"/>
  <c r="K418" i="20" s="1"/>
  <c r="J417" i="20"/>
  <c r="I417" i="20"/>
  <c r="K417" i="20" s="1"/>
  <c r="J416" i="20"/>
  <c r="I416" i="20"/>
  <c r="K416" i="20" s="1"/>
  <c r="J414" i="20"/>
  <c r="I414" i="20"/>
  <c r="K414" i="20" s="1"/>
  <c r="J413" i="20"/>
  <c r="I413" i="20"/>
  <c r="K413" i="20" s="1"/>
  <c r="J410" i="20"/>
  <c r="I410" i="20"/>
  <c r="K410" i="20" s="1"/>
  <c r="J409" i="20"/>
  <c r="I409" i="20"/>
  <c r="K409" i="20" s="1"/>
  <c r="J407" i="20"/>
  <c r="I407" i="20"/>
  <c r="K407" i="20" s="1"/>
  <c r="J406" i="20"/>
  <c r="I406" i="20"/>
  <c r="K406" i="20" s="1"/>
  <c r="J404" i="20"/>
  <c r="I404" i="20"/>
  <c r="K404" i="20" s="1"/>
  <c r="J402" i="20"/>
  <c r="I402" i="20"/>
  <c r="K402" i="20" s="1"/>
  <c r="J401" i="20"/>
  <c r="I401" i="20"/>
  <c r="K401" i="20" s="1"/>
  <c r="J400" i="20"/>
  <c r="I400" i="20"/>
  <c r="K400" i="20" s="1"/>
  <c r="J399" i="20"/>
  <c r="I399" i="20"/>
  <c r="K399" i="20" s="1"/>
  <c r="J397" i="20"/>
  <c r="I397" i="20"/>
  <c r="K397" i="20" s="1"/>
  <c r="J395" i="20"/>
  <c r="I395" i="20"/>
  <c r="K395" i="20" s="1"/>
  <c r="J394" i="20"/>
  <c r="I394" i="20"/>
  <c r="K394" i="20" s="1"/>
  <c r="J393" i="20"/>
  <c r="I393" i="20"/>
  <c r="K393" i="20" s="1"/>
  <c r="J392" i="20"/>
  <c r="I392" i="20"/>
  <c r="K392" i="20" s="1"/>
  <c r="J389" i="20"/>
  <c r="I389" i="20"/>
  <c r="K389" i="20" s="1"/>
  <c r="J388" i="20"/>
  <c r="I388" i="20"/>
  <c r="K388" i="20" s="1"/>
  <c r="J382" i="20"/>
  <c r="I382" i="20"/>
  <c r="K382" i="20" s="1"/>
  <c r="J380" i="20"/>
  <c r="I380" i="20"/>
  <c r="K380" i="20" s="1"/>
  <c r="J379" i="20"/>
  <c r="I379" i="20"/>
  <c r="K379" i="20" s="1"/>
  <c r="J378" i="20"/>
  <c r="I378" i="20"/>
  <c r="K378" i="20" s="1"/>
  <c r="J377" i="20"/>
  <c r="I377" i="20"/>
  <c r="K377" i="20" s="1"/>
  <c r="J376" i="20"/>
  <c r="I376" i="20"/>
  <c r="K376" i="20" s="1"/>
  <c r="J375" i="20"/>
  <c r="I375" i="20"/>
  <c r="K375" i="20" s="1"/>
  <c r="J374" i="20"/>
  <c r="I374" i="20"/>
  <c r="K374" i="20" s="1"/>
  <c r="J372" i="20"/>
  <c r="I372" i="20"/>
  <c r="K372" i="20" s="1"/>
  <c r="J371" i="20"/>
  <c r="I371" i="20"/>
  <c r="K371" i="20" s="1"/>
  <c r="J370" i="20"/>
  <c r="I370" i="20"/>
  <c r="K370" i="20" s="1"/>
  <c r="J369" i="20"/>
  <c r="I369" i="20"/>
  <c r="K369" i="20" s="1"/>
  <c r="J368" i="20"/>
  <c r="I368" i="20"/>
  <c r="K368" i="20" s="1"/>
  <c r="J367" i="20"/>
  <c r="I367" i="20"/>
  <c r="K367" i="20" s="1"/>
  <c r="J366" i="20"/>
  <c r="I366" i="20"/>
  <c r="K366" i="20" s="1"/>
  <c r="J365" i="20"/>
  <c r="I365" i="20"/>
  <c r="K365" i="20" s="1"/>
  <c r="J364" i="20"/>
  <c r="I364" i="20"/>
  <c r="K364" i="20" s="1"/>
  <c r="J362" i="20"/>
  <c r="I362" i="20"/>
  <c r="K362" i="20" s="1"/>
  <c r="J360" i="20"/>
  <c r="I360" i="20"/>
  <c r="K360" i="20" s="1"/>
  <c r="J359" i="20"/>
  <c r="I359" i="20"/>
  <c r="K359" i="20" s="1"/>
  <c r="J358" i="20"/>
  <c r="I358" i="20"/>
  <c r="K358" i="20" s="1"/>
  <c r="J357" i="20"/>
  <c r="I357" i="20"/>
  <c r="K357" i="20" s="1"/>
  <c r="J356" i="20"/>
  <c r="I356" i="20"/>
  <c r="K356" i="20" s="1"/>
  <c r="J354" i="20"/>
  <c r="I354" i="20"/>
  <c r="K354" i="20" s="1"/>
  <c r="J353" i="20"/>
  <c r="I353" i="20"/>
  <c r="K353" i="20" s="1"/>
  <c r="J352" i="20"/>
  <c r="I352" i="20"/>
  <c r="K352" i="20" s="1"/>
  <c r="J351" i="20"/>
  <c r="I351" i="20"/>
  <c r="K351" i="20" s="1"/>
  <c r="J350" i="20"/>
  <c r="I350" i="20"/>
  <c r="K350" i="20" s="1"/>
  <c r="J349" i="20"/>
  <c r="I349" i="20"/>
  <c r="K349" i="20" s="1"/>
  <c r="N347" i="20"/>
  <c r="G347" i="20" s="1"/>
  <c r="I347" i="20" s="1"/>
  <c r="K347" i="20" s="1"/>
  <c r="J347" i="20"/>
  <c r="N346" i="20"/>
  <c r="G346" i="20" s="1"/>
  <c r="I346" i="20" s="1"/>
  <c r="K346" i="20" s="1"/>
  <c r="J346" i="20"/>
  <c r="N345" i="20"/>
  <c r="G345" i="20" s="1"/>
  <c r="I345" i="20" s="1"/>
  <c r="K345" i="20" s="1"/>
  <c r="J345" i="20"/>
  <c r="J344" i="20"/>
  <c r="I344" i="20"/>
  <c r="K344" i="20" s="1"/>
  <c r="J342" i="20"/>
  <c r="I342" i="20"/>
  <c r="K342" i="20" s="1"/>
  <c r="J341" i="20"/>
  <c r="I341" i="20"/>
  <c r="K341" i="20" s="1"/>
  <c r="J340" i="20"/>
  <c r="I340" i="20"/>
  <c r="K340" i="20" s="1"/>
  <c r="J339" i="20"/>
  <c r="I339" i="20"/>
  <c r="K339" i="20" s="1"/>
  <c r="J338" i="20"/>
  <c r="I338" i="20"/>
  <c r="K338" i="20" s="1"/>
  <c r="J337" i="20"/>
  <c r="I337" i="20"/>
  <c r="K337" i="20" s="1"/>
  <c r="J336" i="20"/>
  <c r="I336" i="20"/>
  <c r="K336" i="20" s="1"/>
  <c r="J335" i="20"/>
  <c r="I335" i="20"/>
  <c r="K335" i="20" s="1"/>
  <c r="J334" i="20"/>
  <c r="I334" i="20"/>
  <c r="K334" i="20" s="1"/>
  <c r="J333" i="20"/>
  <c r="I333" i="20"/>
  <c r="K333" i="20" s="1"/>
  <c r="J332" i="20"/>
  <c r="I332" i="20"/>
  <c r="K332" i="20" s="1"/>
  <c r="J331" i="20"/>
  <c r="I331" i="20"/>
  <c r="K331" i="20" s="1"/>
  <c r="J330" i="20"/>
  <c r="I330" i="20"/>
  <c r="K330" i="20" s="1"/>
  <c r="J329" i="20"/>
  <c r="I329" i="20"/>
  <c r="K329" i="20" s="1"/>
  <c r="J328" i="20"/>
  <c r="I328" i="20"/>
  <c r="K328" i="20" s="1"/>
  <c r="J327" i="20"/>
  <c r="I327" i="20"/>
  <c r="K327" i="20" s="1"/>
  <c r="J326" i="20"/>
  <c r="I326" i="20"/>
  <c r="K326" i="20" s="1"/>
  <c r="J325" i="20"/>
  <c r="I325" i="20"/>
  <c r="K325" i="20" s="1"/>
  <c r="J324" i="20"/>
  <c r="I324" i="20"/>
  <c r="K324" i="20" s="1"/>
  <c r="J323" i="20"/>
  <c r="I323" i="20"/>
  <c r="K323" i="20" s="1"/>
  <c r="J322" i="20"/>
  <c r="I322" i="20"/>
  <c r="K322" i="20" s="1"/>
  <c r="J321" i="20"/>
  <c r="I321" i="20"/>
  <c r="K321" i="20" s="1"/>
  <c r="J320" i="20"/>
  <c r="I320" i="20"/>
  <c r="K320" i="20" s="1"/>
  <c r="J319" i="20"/>
  <c r="I319" i="20"/>
  <c r="K319" i="20" s="1"/>
  <c r="J318" i="20"/>
  <c r="I318" i="20"/>
  <c r="K318" i="20" s="1"/>
  <c r="J317" i="20"/>
  <c r="I317" i="20"/>
  <c r="K317" i="20" s="1"/>
  <c r="J316" i="20"/>
  <c r="I316" i="20"/>
  <c r="K316" i="20" s="1"/>
  <c r="J315" i="20"/>
  <c r="I315" i="20"/>
  <c r="K315" i="20" s="1"/>
  <c r="J314" i="20"/>
  <c r="I314" i="20"/>
  <c r="K314" i="20" s="1"/>
  <c r="J313" i="20"/>
  <c r="I313" i="20"/>
  <c r="K313" i="20" s="1"/>
  <c r="J312" i="20"/>
  <c r="I312" i="20"/>
  <c r="K312" i="20" s="1"/>
  <c r="J311" i="20"/>
  <c r="I311" i="20"/>
  <c r="K311" i="20" s="1"/>
  <c r="J310" i="20"/>
  <c r="I310" i="20"/>
  <c r="K310" i="20" s="1"/>
  <c r="J309" i="20"/>
  <c r="I309" i="20"/>
  <c r="K309" i="20" s="1"/>
  <c r="J308" i="20"/>
  <c r="I308" i="20"/>
  <c r="K308" i="20" s="1"/>
  <c r="J307" i="20"/>
  <c r="I307" i="20"/>
  <c r="K307" i="20" s="1"/>
  <c r="J306" i="20"/>
  <c r="I306" i="20"/>
  <c r="K306" i="20" s="1"/>
  <c r="J305" i="20"/>
  <c r="I305" i="20"/>
  <c r="K305" i="20" s="1"/>
  <c r="J304" i="20"/>
  <c r="I304" i="20"/>
  <c r="K304" i="20" s="1"/>
  <c r="J303" i="20"/>
  <c r="I303" i="20"/>
  <c r="K303" i="20" s="1"/>
  <c r="J301" i="20"/>
  <c r="I301" i="20"/>
  <c r="K301" i="20" s="1"/>
  <c r="J300" i="20"/>
  <c r="I300" i="20"/>
  <c r="K300" i="20" s="1"/>
  <c r="J299" i="20"/>
  <c r="I299" i="20"/>
  <c r="K299" i="20" s="1"/>
  <c r="J298" i="20"/>
  <c r="I298" i="20"/>
  <c r="K298" i="20" s="1"/>
  <c r="J297" i="20"/>
  <c r="I297" i="20"/>
  <c r="K297" i="20" s="1"/>
  <c r="J296" i="20"/>
  <c r="I296" i="20"/>
  <c r="K296" i="20" s="1"/>
  <c r="J295" i="20"/>
  <c r="I295" i="20"/>
  <c r="K295" i="20" s="1"/>
  <c r="J294" i="20"/>
  <c r="I294" i="20"/>
  <c r="K294" i="20" s="1"/>
  <c r="J293" i="20"/>
  <c r="I293" i="20"/>
  <c r="K293" i="20" s="1"/>
  <c r="J292" i="20"/>
  <c r="I292" i="20"/>
  <c r="K292" i="20" s="1"/>
  <c r="J291" i="20"/>
  <c r="I291" i="20"/>
  <c r="K291" i="20" s="1"/>
  <c r="J290" i="20"/>
  <c r="I290" i="20"/>
  <c r="K290" i="20" s="1"/>
  <c r="J289" i="20"/>
  <c r="I289" i="20"/>
  <c r="K289" i="20" s="1"/>
  <c r="J287" i="20"/>
  <c r="I287" i="20"/>
  <c r="K287" i="20" s="1"/>
  <c r="J286" i="20"/>
  <c r="I286" i="20"/>
  <c r="K286" i="20" s="1"/>
  <c r="J285" i="20"/>
  <c r="I285" i="20"/>
  <c r="K285" i="20" s="1"/>
  <c r="J284" i="20"/>
  <c r="I284" i="20"/>
  <c r="K284" i="20" s="1"/>
  <c r="J283" i="20"/>
  <c r="I283" i="20"/>
  <c r="K283" i="20" s="1"/>
  <c r="J282" i="20"/>
  <c r="I282" i="20"/>
  <c r="K282" i="20" s="1"/>
  <c r="J281" i="20"/>
  <c r="I281" i="20"/>
  <c r="K281" i="20" s="1"/>
  <c r="J280" i="20"/>
  <c r="I280" i="20"/>
  <c r="K280" i="20" s="1"/>
  <c r="J279" i="20"/>
  <c r="I279" i="20"/>
  <c r="J272" i="20"/>
  <c r="I272" i="20"/>
  <c r="K272" i="20" s="1"/>
  <c r="J271" i="20"/>
  <c r="I271" i="20"/>
  <c r="K271" i="20" s="1"/>
  <c r="J270" i="20"/>
  <c r="I270" i="20"/>
  <c r="K270" i="20" s="1"/>
  <c r="J269" i="20"/>
  <c r="I269" i="20"/>
  <c r="K269" i="20" s="1"/>
  <c r="J268" i="20"/>
  <c r="I268" i="20"/>
  <c r="K268" i="20" s="1"/>
  <c r="J267" i="20"/>
  <c r="I267" i="20"/>
  <c r="K267" i="20" s="1"/>
  <c r="J266" i="20"/>
  <c r="I266" i="20"/>
  <c r="K266" i="20" s="1"/>
  <c r="J265" i="20"/>
  <c r="I265" i="20"/>
  <c r="K265" i="20" s="1"/>
  <c r="J264" i="20"/>
  <c r="I264" i="20"/>
  <c r="K264" i="20" s="1"/>
  <c r="J263" i="20"/>
  <c r="I263" i="20"/>
  <c r="K263" i="20" s="1"/>
  <c r="J262" i="20"/>
  <c r="I262" i="20"/>
  <c r="K262" i="20" s="1"/>
  <c r="J260" i="20"/>
  <c r="I260" i="20"/>
  <c r="K260" i="20" s="1"/>
  <c r="J259" i="20"/>
  <c r="I259" i="20"/>
  <c r="K259" i="20" s="1"/>
  <c r="J258" i="20"/>
  <c r="I258" i="20"/>
  <c r="K258" i="20" s="1"/>
  <c r="J257" i="20"/>
  <c r="I257" i="20"/>
  <c r="K257" i="20" s="1"/>
  <c r="J255" i="20"/>
  <c r="I255" i="20"/>
  <c r="K255" i="20" s="1"/>
  <c r="J254" i="20"/>
  <c r="I254" i="20"/>
  <c r="K254" i="20" s="1"/>
  <c r="J253" i="20"/>
  <c r="I253" i="20"/>
  <c r="K253" i="20" s="1"/>
  <c r="J252" i="20"/>
  <c r="I252" i="20"/>
  <c r="K252" i="20" s="1"/>
  <c r="J251" i="20"/>
  <c r="I251" i="20"/>
  <c r="K251" i="20" s="1"/>
  <c r="J250" i="20"/>
  <c r="I250" i="20"/>
  <c r="K250" i="20" s="1"/>
  <c r="J249" i="20"/>
  <c r="I249" i="20"/>
  <c r="K249" i="20" s="1"/>
  <c r="J248" i="20"/>
  <c r="I248" i="20"/>
  <c r="K248" i="20" s="1"/>
  <c r="J247" i="20"/>
  <c r="I247" i="20"/>
  <c r="K247" i="20" s="1"/>
  <c r="J246" i="20"/>
  <c r="I246" i="20"/>
  <c r="K246" i="20" s="1"/>
  <c r="J245" i="20"/>
  <c r="I245" i="20"/>
  <c r="K245" i="20" s="1"/>
  <c r="J244" i="20"/>
  <c r="I244" i="20"/>
  <c r="K244" i="20" s="1"/>
  <c r="J243" i="20"/>
  <c r="I243" i="20"/>
  <c r="K243" i="20" s="1"/>
  <c r="J242" i="20"/>
  <c r="I242" i="20"/>
  <c r="K242" i="20" s="1"/>
  <c r="J240" i="20"/>
  <c r="I240" i="20"/>
  <c r="K240" i="20" s="1"/>
  <c r="J239" i="20"/>
  <c r="I239" i="20"/>
  <c r="K239" i="20" s="1"/>
  <c r="J238" i="20"/>
  <c r="I238" i="20"/>
  <c r="K238" i="20" s="1"/>
  <c r="J237" i="20"/>
  <c r="I237" i="20"/>
  <c r="K237" i="20" s="1"/>
  <c r="J236" i="20"/>
  <c r="I236" i="20"/>
  <c r="K236" i="20" s="1"/>
  <c r="J235" i="20"/>
  <c r="I235" i="20"/>
  <c r="K235" i="20" s="1"/>
  <c r="J234" i="20"/>
  <c r="I234" i="20"/>
  <c r="K234" i="20" s="1"/>
  <c r="J232" i="20"/>
  <c r="I232" i="20"/>
  <c r="K232" i="20" s="1"/>
  <c r="J231" i="20"/>
  <c r="I231" i="20"/>
  <c r="K231" i="20" s="1"/>
  <c r="J230" i="20"/>
  <c r="I230" i="20"/>
  <c r="K230" i="20" s="1"/>
  <c r="J229" i="20"/>
  <c r="I229" i="20"/>
  <c r="K229" i="20" s="1"/>
  <c r="J228" i="20"/>
  <c r="I228" i="20"/>
  <c r="K228" i="20" s="1"/>
  <c r="J226" i="20"/>
  <c r="I226" i="20"/>
  <c r="K226" i="20" s="1"/>
  <c r="J225" i="20"/>
  <c r="I225" i="20"/>
  <c r="K225" i="20" s="1"/>
  <c r="J224" i="20"/>
  <c r="I224" i="20"/>
  <c r="K224" i="20" s="1"/>
  <c r="J223" i="20"/>
  <c r="I223" i="20"/>
  <c r="K223" i="20" s="1"/>
  <c r="J222" i="20"/>
  <c r="I222" i="20"/>
  <c r="K222" i="20" s="1"/>
  <c r="J221" i="20"/>
  <c r="I221" i="20"/>
  <c r="K221" i="20" s="1"/>
  <c r="J220" i="20"/>
  <c r="I220" i="20"/>
  <c r="K220" i="20" s="1"/>
  <c r="J218" i="20"/>
  <c r="I218" i="20"/>
  <c r="K218" i="20" s="1"/>
  <c r="J217" i="20"/>
  <c r="I217" i="20"/>
  <c r="K217" i="20" s="1"/>
  <c r="J216" i="20"/>
  <c r="I216" i="20"/>
  <c r="K216" i="20" s="1"/>
  <c r="J215" i="20"/>
  <c r="I215" i="20"/>
  <c r="K215" i="20" s="1"/>
  <c r="J171" i="20"/>
  <c r="I171" i="20"/>
  <c r="K171" i="20" s="1"/>
  <c r="J170" i="20"/>
  <c r="I170" i="20"/>
  <c r="K170" i="20" s="1"/>
  <c r="J214" i="20"/>
  <c r="I214" i="20"/>
  <c r="K214" i="20" s="1"/>
  <c r="J213" i="20"/>
  <c r="I213" i="20"/>
  <c r="K213" i="20" s="1"/>
  <c r="J212" i="20"/>
  <c r="I212" i="20"/>
  <c r="K212" i="20" s="1"/>
  <c r="J211" i="20"/>
  <c r="I211" i="20"/>
  <c r="K211" i="20" s="1"/>
  <c r="J210" i="20"/>
  <c r="I210" i="20"/>
  <c r="K210" i="20" s="1"/>
  <c r="J209" i="20"/>
  <c r="I209" i="20"/>
  <c r="K209" i="20" s="1"/>
  <c r="J208" i="20"/>
  <c r="I208" i="20"/>
  <c r="K208" i="20" s="1"/>
  <c r="J207" i="20"/>
  <c r="I207" i="20"/>
  <c r="K207" i="20" s="1"/>
  <c r="J206" i="20"/>
  <c r="I206" i="20"/>
  <c r="K206" i="20" s="1"/>
  <c r="I204" i="20"/>
  <c r="K204" i="20" s="1"/>
  <c r="I203" i="20"/>
  <c r="K203" i="20" s="1"/>
  <c r="I202" i="20"/>
  <c r="K202" i="20" s="1"/>
  <c r="I201" i="20"/>
  <c r="K201" i="20" s="1"/>
  <c r="J200" i="20"/>
  <c r="I200" i="20"/>
  <c r="K200" i="20" s="1"/>
  <c r="I198" i="20"/>
  <c r="K198" i="20" s="1"/>
  <c r="I197" i="20"/>
  <c r="K197" i="20" s="1"/>
  <c r="I196" i="20"/>
  <c r="K196" i="20" s="1"/>
  <c r="I195" i="20"/>
  <c r="K195" i="20" s="1"/>
  <c r="J194" i="20"/>
  <c r="I194" i="20"/>
  <c r="K194" i="20" s="1"/>
  <c r="J192" i="20"/>
  <c r="I192" i="20"/>
  <c r="K192" i="20" s="1"/>
  <c r="J191" i="20"/>
  <c r="I191" i="20"/>
  <c r="K191" i="20" s="1"/>
  <c r="J190" i="20"/>
  <c r="I190" i="20"/>
  <c r="K190" i="20" s="1"/>
  <c r="J189" i="20"/>
  <c r="I189" i="20"/>
  <c r="K189" i="20" s="1"/>
  <c r="J188" i="20"/>
  <c r="I188" i="20"/>
  <c r="K188" i="20" s="1"/>
  <c r="J187" i="20"/>
  <c r="I187" i="20"/>
  <c r="K187" i="20" s="1"/>
  <c r="J186" i="20"/>
  <c r="I186" i="20"/>
  <c r="K186" i="20" s="1"/>
  <c r="J185" i="20"/>
  <c r="I185" i="20"/>
  <c r="K185" i="20" s="1"/>
  <c r="J184" i="20"/>
  <c r="I184" i="20"/>
  <c r="K184" i="20" s="1"/>
  <c r="J183" i="20"/>
  <c r="I183" i="20"/>
  <c r="K183" i="20" s="1"/>
  <c r="J182" i="20"/>
  <c r="I182" i="20"/>
  <c r="K182" i="20" s="1"/>
  <c r="J181" i="20"/>
  <c r="I181" i="20"/>
  <c r="K181" i="20" s="1"/>
  <c r="J180" i="20"/>
  <c r="I180" i="20"/>
  <c r="K180" i="20" s="1"/>
  <c r="J179" i="20"/>
  <c r="I179" i="20"/>
  <c r="K179" i="20" s="1"/>
  <c r="J177" i="20"/>
  <c r="I177" i="20"/>
  <c r="K177" i="20" s="1"/>
  <c r="J176" i="20"/>
  <c r="I176" i="20"/>
  <c r="K176" i="20" s="1"/>
  <c r="J175" i="20"/>
  <c r="I175" i="20"/>
  <c r="K175" i="20" s="1"/>
  <c r="J174" i="20"/>
  <c r="I174" i="20"/>
  <c r="K174" i="20" s="1"/>
  <c r="J156" i="20"/>
  <c r="I156" i="20"/>
  <c r="K156" i="20" s="1"/>
  <c r="J155" i="20"/>
  <c r="I155" i="20"/>
  <c r="K155" i="20" s="1"/>
  <c r="J154" i="20"/>
  <c r="I154" i="20"/>
  <c r="K154" i="20" s="1"/>
  <c r="J167" i="20"/>
  <c r="I167" i="20"/>
  <c r="K167" i="20" s="1"/>
  <c r="J166" i="20"/>
  <c r="I166" i="20"/>
  <c r="K166" i="20" s="1"/>
  <c r="J164" i="20"/>
  <c r="I164" i="20"/>
  <c r="K164" i="20" s="1"/>
  <c r="J163" i="20"/>
  <c r="I163" i="20"/>
  <c r="K163" i="20" s="1"/>
  <c r="J162" i="20"/>
  <c r="I162" i="20"/>
  <c r="K162" i="20" s="1"/>
  <c r="J161" i="20"/>
  <c r="I161" i="20"/>
  <c r="K161" i="20" s="1"/>
  <c r="J160" i="20"/>
  <c r="I160" i="20"/>
  <c r="K160" i="20" s="1"/>
  <c r="J159" i="20"/>
  <c r="I159" i="20"/>
  <c r="K159" i="20" s="1"/>
  <c r="J158" i="20"/>
  <c r="I158" i="20"/>
  <c r="K158" i="20" s="1"/>
  <c r="J152" i="20"/>
  <c r="I152" i="20"/>
  <c r="K152" i="20" s="1"/>
  <c r="J151" i="20"/>
  <c r="I151" i="20"/>
  <c r="K151" i="20" s="1"/>
  <c r="J150" i="20"/>
  <c r="I150" i="20"/>
  <c r="K150" i="20" s="1"/>
  <c r="J149" i="20"/>
  <c r="I149" i="20"/>
  <c r="K149" i="20" s="1"/>
  <c r="J148" i="20"/>
  <c r="I148" i="20"/>
  <c r="K148" i="20" s="1"/>
  <c r="J147" i="20"/>
  <c r="I147" i="20"/>
  <c r="K147" i="20" s="1"/>
  <c r="J146" i="20"/>
  <c r="I146" i="20"/>
  <c r="K146" i="20" s="1"/>
  <c r="J145" i="20"/>
  <c r="I145" i="20"/>
  <c r="K145" i="20" s="1"/>
  <c r="J144" i="20"/>
  <c r="I144" i="20"/>
  <c r="K144" i="20" s="1"/>
  <c r="J143" i="20"/>
  <c r="I143" i="20"/>
  <c r="K143" i="20" s="1"/>
  <c r="J142" i="20"/>
  <c r="I142" i="20"/>
  <c r="K142" i="20" s="1"/>
  <c r="J140" i="20"/>
  <c r="I140" i="20"/>
  <c r="K140" i="20" s="1"/>
  <c r="J139" i="20"/>
  <c r="I139" i="20"/>
  <c r="K139" i="20" s="1"/>
  <c r="J138" i="20"/>
  <c r="I138" i="20"/>
  <c r="K138" i="20" s="1"/>
  <c r="J137" i="20"/>
  <c r="I137" i="20"/>
  <c r="K137" i="20" s="1"/>
  <c r="J136" i="20"/>
  <c r="I136" i="20"/>
  <c r="K136" i="20" s="1"/>
  <c r="J135" i="20"/>
  <c r="I135" i="20"/>
  <c r="K135" i="20" s="1"/>
  <c r="J134" i="20"/>
  <c r="I134" i="20"/>
  <c r="K134" i="20" s="1"/>
  <c r="J133" i="20"/>
  <c r="I133" i="20"/>
  <c r="K133" i="20" s="1"/>
  <c r="J132" i="20"/>
  <c r="I132" i="20"/>
  <c r="J124" i="20"/>
  <c r="I124" i="20"/>
  <c r="K124" i="20" s="1"/>
  <c r="J122" i="20"/>
  <c r="I122" i="20"/>
  <c r="K122" i="20" s="1"/>
  <c r="J121" i="20"/>
  <c r="I121" i="20"/>
  <c r="K121" i="20" s="1"/>
  <c r="J120" i="20"/>
  <c r="I120" i="20"/>
  <c r="K120" i="20" s="1"/>
  <c r="J119" i="20"/>
  <c r="I119" i="20"/>
  <c r="K119" i="20" s="1"/>
  <c r="J118" i="20"/>
  <c r="I118" i="20"/>
  <c r="K118" i="20" s="1"/>
  <c r="J117" i="20"/>
  <c r="I117" i="20"/>
  <c r="K117" i="20" s="1"/>
  <c r="J116" i="20"/>
  <c r="I116" i="20"/>
  <c r="K116" i="20" s="1"/>
  <c r="J115" i="20"/>
  <c r="I115" i="20"/>
  <c r="K115" i="20" s="1"/>
  <c r="J114" i="20"/>
  <c r="I114" i="20"/>
  <c r="K114" i="20" s="1"/>
  <c r="J113" i="20"/>
  <c r="I113" i="20"/>
  <c r="K113" i="20" s="1"/>
  <c r="J112" i="20"/>
  <c r="I112" i="20"/>
  <c r="K112" i="20" s="1"/>
  <c r="J111" i="20"/>
  <c r="I111" i="20"/>
  <c r="K111" i="20" s="1"/>
  <c r="J110" i="20"/>
  <c r="I110" i="20"/>
  <c r="K110" i="20" s="1"/>
  <c r="J108" i="20"/>
  <c r="I108" i="20"/>
  <c r="K108" i="20" s="1"/>
  <c r="J107" i="20"/>
  <c r="I107" i="20"/>
  <c r="K107" i="20" s="1"/>
  <c r="J106" i="20"/>
  <c r="I106" i="20"/>
  <c r="K106" i="20" s="1"/>
  <c r="J105" i="20"/>
  <c r="I105" i="20"/>
  <c r="K105" i="20" s="1"/>
  <c r="J104" i="20"/>
  <c r="I104" i="20"/>
  <c r="K104" i="20" s="1"/>
  <c r="J103" i="20"/>
  <c r="I103" i="20"/>
  <c r="K103" i="20" s="1"/>
  <c r="J102" i="20"/>
  <c r="I102" i="20"/>
  <c r="K102" i="20" s="1"/>
  <c r="J101" i="20"/>
  <c r="I101" i="20"/>
  <c r="K101" i="20" s="1"/>
  <c r="J99" i="20"/>
  <c r="I99" i="20"/>
  <c r="K99" i="20" s="1"/>
  <c r="J98" i="20"/>
  <c r="I98" i="20"/>
  <c r="K98" i="20" s="1"/>
  <c r="J97" i="20"/>
  <c r="I97" i="20"/>
  <c r="K97" i="20" s="1"/>
  <c r="J96" i="20"/>
  <c r="I96" i="20"/>
  <c r="K96" i="20" s="1"/>
  <c r="J95" i="20"/>
  <c r="I95" i="20"/>
  <c r="K95" i="20" s="1"/>
  <c r="J93" i="20"/>
  <c r="I93" i="20"/>
  <c r="K93" i="20" s="1"/>
  <c r="J92" i="20"/>
  <c r="I92" i="20"/>
  <c r="K92" i="20" s="1"/>
  <c r="J91" i="20"/>
  <c r="I91" i="20"/>
  <c r="K91" i="20" s="1"/>
  <c r="J90" i="20"/>
  <c r="I90" i="20"/>
  <c r="K90" i="20" s="1"/>
  <c r="J89" i="20"/>
  <c r="I89" i="20"/>
  <c r="K89" i="20" s="1"/>
  <c r="J88" i="20"/>
  <c r="I88" i="20"/>
  <c r="K88" i="20" s="1"/>
  <c r="J86" i="20"/>
  <c r="I86" i="20"/>
  <c r="K86" i="20" s="1"/>
  <c r="J85" i="20"/>
  <c r="I85" i="20"/>
  <c r="K85" i="20" s="1"/>
  <c r="J84" i="20"/>
  <c r="I84" i="20"/>
  <c r="K84" i="20" s="1"/>
  <c r="J83" i="20"/>
  <c r="I83" i="20"/>
  <c r="K83" i="20" s="1"/>
  <c r="J82" i="20"/>
  <c r="I82" i="20"/>
  <c r="K82" i="20" s="1"/>
  <c r="J81" i="20"/>
  <c r="I81" i="20"/>
  <c r="K81" i="20" s="1"/>
  <c r="J79" i="20"/>
  <c r="I79" i="20"/>
  <c r="K79" i="20" s="1"/>
  <c r="J78" i="20"/>
  <c r="I78" i="20"/>
  <c r="K78" i="20" s="1"/>
  <c r="J77" i="20"/>
  <c r="I77" i="20"/>
  <c r="K77" i="20" s="1"/>
  <c r="J76" i="20"/>
  <c r="I76" i="20"/>
  <c r="K76" i="20" s="1"/>
  <c r="J75" i="20"/>
  <c r="I75" i="20"/>
  <c r="K75" i="20" s="1"/>
  <c r="J74" i="20"/>
  <c r="I74" i="20"/>
  <c r="K74" i="20" s="1"/>
  <c r="J73" i="20"/>
  <c r="I73" i="20"/>
  <c r="K73" i="20" s="1"/>
  <c r="J72" i="20"/>
  <c r="I72" i="20"/>
  <c r="K72" i="20" s="1"/>
  <c r="J71" i="20"/>
  <c r="I71" i="20"/>
  <c r="K71" i="20" s="1"/>
  <c r="J70" i="20"/>
  <c r="I70" i="20"/>
  <c r="K70" i="20" s="1"/>
  <c r="J68" i="20"/>
  <c r="I68" i="20"/>
  <c r="K68" i="20" s="1"/>
  <c r="J67" i="20"/>
  <c r="I67" i="20"/>
  <c r="K67" i="20" s="1"/>
  <c r="J61" i="20"/>
  <c r="I61" i="20"/>
  <c r="K61" i="20" s="1"/>
  <c r="J59" i="20"/>
  <c r="I59" i="20"/>
  <c r="K59" i="20" s="1"/>
  <c r="J58" i="20"/>
  <c r="I58" i="20"/>
  <c r="K58" i="20" s="1"/>
  <c r="J57" i="20"/>
  <c r="I57" i="20"/>
  <c r="K57" i="20" s="1"/>
  <c r="J56" i="20"/>
  <c r="I56" i="20"/>
  <c r="K56" i="20" s="1"/>
  <c r="J55" i="20"/>
  <c r="I55" i="20"/>
  <c r="K55" i="20" s="1"/>
  <c r="J54" i="20"/>
  <c r="I54" i="20"/>
  <c r="K54" i="20" s="1"/>
  <c r="J53" i="20"/>
  <c r="I53" i="20"/>
  <c r="K53" i="20" s="1"/>
  <c r="J52" i="20"/>
  <c r="I52" i="20"/>
  <c r="K52" i="20" s="1"/>
  <c r="J51" i="20"/>
  <c r="I51" i="20"/>
  <c r="K51" i="20" s="1"/>
  <c r="J50" i="20"/>
  <c r="I50" i="20"/>
  <c r="K50" i="20" s="1"/>
  <c r="J49" i="20"/>
  <c r="I49" i="20"/>
  <c r="K49" i="20" s="1"/>
  <c r="J47" i="20"/>
  <c r="I47" i="20"/>
  <c r="K47" i="20" s="1"/>
  <c r="J46" i="20"/>
  <c r="I46" i="20"/>
  <c r="K46" i="20" s="1"/>
  <c r="J45" i="20"/>
  <c r="I45" i="20"/>
  <c r="K45" i="20" s="1"/>
  <c r="J44" i="20"/>
  <c r="I44" i="20"/>
  <c r="K44" i="20" s="1"/>
  <c r="J38" i="20"/>
  <c r="I38" i="20"/>
  <c r="K38" i="20" s="1"/>
  <c r="J37" i="20"/>
  <c r="I37" i="20"/>
  <c r="K37" i="20" s="1"/>
  <c r="J36" i="20"/>
  <c r="I36" i="20"/>
  <c r="K36" i="20" s="1"/>
  <c r="J35" i="20"/>
  <c r="I35" i="20"/>
  <c r="K35" i="20" s="1"/>
  <c r="J34" i="20"/>
  <c r="I34" i="20"/>
  <c r="K34" i="20" s="1"/>
  <c r="J33" i="20"/>
  <c r="I33" i="20"/>
  <c r="K33" i="20" s="1"/>
  <c r="J32" i="20"/>
  <c r="I32" i="20"/>
  <c r="K32" i="20" s="1"/>
  <c r="J30" i="20"/>
  <c r="I30" i="20"/>
  <c r="K30" i="20" s="1"/>
  <c r="J29" i="20"/>
  <c r="I29" i="20"/>
  <c r="K29" i="20" s="1"/>
  <c r="J28" i="20"/>
  <c r="I28" i="20"/>
  <c r="K28" i="20" s="1"/>
  <c r="J27" i="20"/>
  <c r="I27" i="20"/>
  <c r="K27" i="20" s="1"/>
  <c r="J26" i="20"/>
  <c r="I26" i="20"/>
  <c r="K26" i="20" s="1"/>
  <c r="J25" i="20"/>
  <c r="I25" i="20"/>
  <c r="K25" i="20" s="1"/>
  <c r="J24" i="20"/>
  <c r="I24" i="20"/>
  <c r="K24" i="20" s="1"/>
  <c r="J23" i="20"/>
  <c r="I23" i="20"/>
  <c r="K23" i="20" s="1"/>
  <c r="J22" i="20"/>
  <c r="I22" i="20"/>
  <c r="K22" i="20" s="1"/>
  <c r="J21" i="20"/>
  <c r="I21" i="20"/>
  <c r="K21" i="20" s="1"/>
  <c r="J20" i="20"/>
  <c r="I20" i="20"/>
  <c r="K20" i="20" s="1"/>
  <c r="J19" i="20"/>
  <c r="I19" i="20"/>
  <c r="K19" i="20" s="1"/>
  <c r="J18" i="20"/>
  <c r="I18" i="20"/>
  <c r="K18" i="20" s="1"/>
  <c r="J17" i="20"/>
  <c r="I17" i="20"/>
  <c r="K17" i="20" s="1"/>
  <c r="J15" i="20"/>
  <c r="I15" i="20"/>
  <c r="K15" i="20" s="1"/>
  <c r="J14" i="20"/>
  <c r="I14" i="20"/>
  <c r="K14" i="20" s="1"/>
  <c r="J13" i="20"/>
  <c r="I13" i="20"/>
  <c r="K13" i="20" s="1"/>
  <c r="J12" i="20"/>
  <c r="I12" i="20"/>
  <c r="K12" i="20" s="1"/>
  <c r="J11" i="20"/>
  <c r="I11" i="20"/>
  <c r="K11" i="20" s="1"/>
  <c r="J10" i="20"/>
  <c r="I10" i="20"/>
  <c r="K10" i="20" s="1"/>
  <c r="L557" i="20" l="1"/>
  <c r="E25" i="22" s="1"/>
  <c r="J557" i="20"/>
  <c r="L556" i="20"/>
  <c r="E24" i="22" s="1"/>
  <c r="J556" i="20"/>
  <c r="L562" i="20"/>
  <c r="E30" i="22" s="1"/>
  <c r="J562" i="20"/>
  <c r="L554" i="20"/>
  <c r="E22" i="22" s="1"/>
  <c r="J554" i="20"/>
  <c r="L558" i="20"/>
  <c r="E26" i="22" s="1"/>
  <c r="J558" i="20"/>
  <c r="I521" i="20"/>
  <c r="K511" i="20"/>
  <c r="K521" i="20" s="1"/>
  <c r="I507" i="20"/>
  <c r="K459" i="20"/>
  <c r="M3" i="20" s="1"/>
  <c r="H555" i="20" s="1"/>
  <c r="L555" i="20" s="1"/>
  <c r="E23" i="22" s="1"/>
  <c r="I129" i="20"/>
  <c r="K129" i="20"/>
  <c r="I275" i="20"/>
  <c r="I530" i="20"/>
  <c r="K525" i="20"/>
  <c r="K132" i="20"/>
  <c r="K275" i="20" s="1"/>
  <c r="K507" i="20"/>
  <c r="M6" i="20" s="1"/>
  <c r="H560" i="20" s="1"/>
  <c r="L560" i="20" s="1"/>
  <c r="E28" i="22" s="1"/>
  <c r="U544" i="20"/>
  <c r="G541" i="20" s="1"/>
  <c r="I541" i="20" s="1"/>
  <c r="K541" i="20" s="1"/>
  <c r="H559" i="20" s="1"/>
  <c r="L559" i="20" s="1"/>
  <c r="E27" i="22" s="1"/>
  <c r="K534" i="20"/>
  <c r="H553" i="20" s="1"/>
  <c r="I384" i="20"/>
  <c r="K279" i="20"/>
  <c r="K384" i="20" s="1"/>
  <c r="I459" i="20"/>
  <c r="F30" i="22" l="1"/>
  <c r="E30" i="23"/>
  <c r="F30" i="23" s="1"/>
  <c r="J559" i="20"/>
  <c r="E27" i="23" s="1"/>
  <c r="F27" i="23" s="1"/>
  <c r="F27" i="22"/>
  <c r="F26" i="22"/>
  <c r="E26" i="23"/>
  <c r="F26" i="23" s="1"/>
  <c r="F24" i="22"/>
  <c r="E24" i="23"/>
  <c r="F24" i="23" s="1"/>
  <c r="F22" i="22"/>
  <c r="E22" i="23"/>
  <c r="F22" i="23" s="1"/>
  <c r="F25" i="22"/>
  <c r="E25" i="23"/>
  <c r="F25" i="23" s="1"/>
  <c r="K530" i="20"/>
  <c r="M7" i="20" s="1"/>
  <c r="J555" i="20"/>
  <c r="J560" i="20"/>
  <c r="C552" i="20"/>
  <c r="K546" i="20"/>
  <c r="M4" i="20"/>
  <c r="I546" i="20"/>
  <c r="I547" i="20" s="1"/>
  <c r="C554" i="20"/>
  <c r="M5" i="20"/>
  <c r="H561" i="20" s="1"/>
  <c r="L561" i="20" s="1"/>
  <c r="E29" i="22" s="1"/>
  <c r="M2" i="20"/>
  <c r="F23" i="22" l="1"/>
  <c r="E23" i="23"/>
  <c r="F23" i="23" s="1"/>
  <c r="F28" i="22"/>
  <c r="E28" i="23"/>
  <c r="F28" i="23" s="1"/>
  <c r="C551" i="20"/>
  <c r="L553" i="20"/>
  <c r="E21" i="22" s="1"/>
  <c r="J553" i="20"/>
  <c r="J561" i="20"/>
  <c r="H552" i="20"/>
  <c r="L552" i="20" s="1"/>
  <c r="E20" i="22" s="1"/>
  <c r="M8" i="20"/>
  <c r="C553" i="20"/>
  <c r="K547" i="20"/>
  <c r="F29" i="22" l="1"/>
  <c r="E29" i="23"/>
  <c r="F29" i="23" s="1"/>
  <c r="F21" i="22"/>
  <c r="E21" i="23"/>
  <c r="F21" i="23" s="1"/>
  <c r="C556" i="20"/>
  <c r="L565" i="20"/>
  <c r="J552" i="20"/>
  <c r="E20" i="23" s="1"/>
  <c r="F20" i="23" s="1"/>
  <c r="H565" i="20"/>
  <c r="F32" i="23" l="1"/>
  <c r="F34" i="23" s="1"/>
  <c r="F36" i="23" s="1"/>
  <c r="J565" i="20"/>
  <c r="F20" i="22"/>
  <c r="F32" i="22" s="1"/>
  <c r="F34" i="22" s="1"/>
  <c r="F36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247B9A-DA1C-4434-AC79-AFC8E6ACBE49}" keepAlive="1" name="Query - Document" description="Connection to the 'Document' query in the workbook." type="5" refreshedVersion="6" background="1" saveData="1">
    <dbPr connection="Provider=Microsoft.Mashup.OleDb.1;Data Source=$Workbook$;Location=Document;Extended Properties=&quot;&quot;" command="SELECT * FROM [Document]"/>
  </connection>
  <connection id="2" xr16:uid="{FAF70825-B308-4CBC-A4F3-C0A4E93697F6}" keepAlive="1" name="Query - Table 0" description="Connection to the 'Table 0' query in the workbook." type="5" refreshedVersion="0" background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<sst xmlns="http://schemas.openxmlformats.org/spreadsheetml/2006/main" count="2192" uniqueCount="1048">
  <si>
    <t>Date:</t>
  </si>
  <si>
    <t>Other</t>
  </si>
  <si>
    <t>Design Engineer:</t>
  </si>
  <si>
    <t>Labour and Programming</t>
  </si>
  <si>
    <t>Instrumentation</t>
  </si>
  <si>
    <t>MCC</t>
  </si>
  <si>
    <t>J(WVP)137 In rock m³ 181.50</t>
  </si>
  <si>
    <t xml:space="preserve">J(WVP)136 In soft rock m³ 133.10 </t>
  </si>
  <si>
    <t xml:space="preserve">J(WVP)135 In earth m³  90.75 </t>
  </si>
  <si>
    <t>Total:</t>
  </si>
  <si>
    <t>trench not exceeding 1m deep</t>
  </si>
  <si>
    <t>Excavate and set excavated material aside</t>
  </si>
  <si>
    <t xml:space="preserve">J(WVP)131 Install m³ 99.22 </t>
  </si>
  <si>
    <t>COC</t>
  </si>
  <si>
    <t xml:space="preserve">J(WVP)130 Delivery m³  423.50 </t>
  </si>
  <si>
    <t xml:space="preserve">J(WVP)129 Supply m³  121.00 </t>
  </si>
  <si>
    <t>Contingency/Price Adjust</t>
  </si>
  <si>
    <t>Selected and approved material for backfilling</t>
  </si>
  <si>
    <t>Cable trench backfilling</t>
  </si>
  <si>
    <t>Programming</t>
  </si>
  <si>
    <t>Drawing/Design</t>
  </si>
  <si>
    <t>J(WVP)124 Install No 3 02.50</t>
  </si>
  <si>
    <t>Quotation</t>
  </si>
  <si>
    <t>J(WVP)123 Supply No 5 44.50</t>
  </si>
  <si>
    <t>Cable marker with engraved steel plate</t>
  </si>
  <si>
    <t>Labour</t>
  </si>
  <si>
    <t xml:space="preserve">J(WVP)122 Install m  5.50 </t>
  </si>
  <si>
    <t>for re-use as filling for cable or sleeve</t>
  </si>
  <si>
    <t>Generator</t>
  </si>
  <si>
    <t>J(WVP)121 Supply m 7.92</t>
  </si>
  <si>
    <t>Consortium Cables</t>
  </si>
  <si>
    <t>Ethernet Shielded</t>
  </si>
  <si>
    <t>Total</t>
  </si>
  <si>
    <t>Danger tape - 400mm wide overlapping</t>
  </si>
  <si>
    <t>Ethernet Unshielded</t>
  </si>
  <si>
    <t>Cable trench marking</t>
  </si>
  <si>
    <t>Ethernet</t>
  </si>
  <si>
    <t>Panel Wire</t>
  </si>
  <si>
    <t>Triad</t>
  </si>
  <si>
    <t>Frontline</t>
  </si>
  <si>
    <t>Lugs</t>
  </si>
  <si>
    <t>600/1000V multicore cables, complete</t>
  </si>
  <si>
    <t>Insulated/PVC Bedded/SWA/PVC Sheathed</t>
  </si>
  <si>
    <t>Cable terminations for Cu/PVC</t>
  </si>
  <si>
    <t>J(WVP)73 185mm² x 4 core m 145.20</t>
  </si>
  <si>
    <t>185mm² x 4 core</t>
  </si>
  <si>
    <t>J(WVP)72 150mm² x 4 core m 133.10</t>
  </si>
  <si>
    <t>120mm² x 4 core</t>
  </si>
  <si>
    <t>J(WVP)71 120mm² x 4 core m 96.80</t>
  </si>
  <si>
    <t>95mm² x 4 core</t>
  </si>
  <si>
    <t>J(WVP)70 95mm² x 4 core m 90.75</t>
  </si>
  <si>
    <t>75mm² x 4 core</t>
  </si>
  <si>
    <t>J(WVP)69 75mm² x 4 core m 66.55</t>
  </si>
  <si>
    <t>50mm² x 4 core</t>
  </si>
  <si>
    <t>J(WVP)68 50mm² x 4 core m 66.55</t>
  </si>
  <si>
    <t>35mm² x 4 core</t>
  </si>
  <si>
    <t>J(WVP)67 35mm² x 4 core m 54.45</t>
  </si>
  <si>
    <t>25mm² x 4 core</t>
  </si>
  <si>
    <t>J(WVP)66 25mm² x 4 core m 54.45</t>
  </si>
  <si>
    <t>16mm² x 4 core</t>
  </si>
  <si>
    <t>J(WVP)65 16mm² x 4 core m 38.72</t>
  </si>
  <si>
    <t>10mm² x 4 core</t>
  </si>
  <si>
    <t>J(WVP)64 10mm² x 4 core m 38.72</t>
  </si>
  <si>
    <t>6mm² x 4 core</t>
  </si>
  <si>
    <t>J(WVP)63 6mm² x 4 core m 31.46</t>
  </si>
  <si>
    <t>4mm² x 4 core</t>
  </si>
  <si>
    <t>J(WVP)62 4mm² x 4 core m 26.62</t>
  </si>
  <si>
    <t>2.5mm² x 4 core</t>
  </si>
  <si>
    <t>J(WVP)61 2.5mm² x 4 core m 26.62</t>
  </si>
  <si>
    <t>1,5mm x2 +PE Surfix Black</t>
  </si>
  <si>
    <t>LV Cable Installation</t>
  </si>
  <si>
    <t>Siemens</t>
  </si>
  <si>
    <t>Flow Meter Tube DN400</t>
  </si>
  <si>
    <t>7ME6520-4VC12-2AA1</t>
  </si>
  <si>
    <t>Flow Meter Tube DN250</t>
  </si>
  <si>
    <t>7ME6520-4PC12-2AA1</t>
  </si>
  <si>
    <t>Flow Meter Tube DN200</t>
  </si>
  <si>
    <t>7ME6520-4HC12-2AA1</t>
  </si>
  <si>
    <t>Flow Meter Tube DN150</t>
  </si>
  <si>
    <t>7ME6520-4BC12-2AA1</t>
  </si>
  <si>
    <t>Flow Meter Tube DN125</t>
  </si>
  <si>
    <t>7ME6520-3TC12-2AA1</t>
  </si>
  <si>
    <t>Flow Meter Tube DN100</t>
  </si>
  <si>
    <t>7ME6520-3MC12-2AA1</t>
  </si>
  <si>
    <t>Flow Meter Tube DN80</t>
  </si>
  <si>
    <t>7ME6520-3FC12-2AA1</t>
  </si>
  <si>
    <t>Flow Meter Tube DN65</t>
  </si>
  <si>
    <t>7ME6520-2YC12-2AA1</t>
  </si>
  <si>
    <t>Flow Meter Tube DN50</t>
  </si>
  <si>
    <t>FDK:085U0220</t>
  </si>
  <si>
    <t>Flow Meter Potting Kit</t>
  </si>
  <si>
    <t>A5E02296464</t>
  </si>
  <si>
    <t>Flow Meter 15m Cable Kit</t>
  </si>
  <si>
    <t>A5E02296329</t>
  </si>
  <si>
    <t>Flow Meter 5m Cable Kit</t>
  </si>
  <si>
    <t>FDK:085U1018</t>
  </si>
  <si>
    <t>Flow Meter Mounting Kit</t>
  </si>
  <si>
    <t>FDK:085U0234</t>
  </si>
  <si>
    <t>Flow Meter Modbus Module</t>
  </si>
  <si>
    <t>7ME6920-1AA30-1AA0</t>
  </si>
  <si>
    <t>Flow Meter MAG 6000</t>
  </si>
  <si>
    <t>Flow Meter MAG 5000</t>
  </si>
  <si>
    <t>7ME6910-2CA30-1AA0</t>
  </si>
  <si>
    <t>Flowmeter Head Panel Mount MAG5000</t>
  </si>
  <si>
    <t>3m</t>
  </si>
  <si>
    <t>Hydrostatic Level Sensor</t>
  </si>
  <si>
    <t>300mm</t>
  </si>
  <si>
    <t>Fuel Level Sensor</t>
  </si>
  <si>
    <t>400mm</t>
  </si>
  <si>
    <t>500mm</t>
  </si>
  <si>
    <t>600mm</t>
  </si>
  <si>
    <t>800mm</t>
  </si>
  <si>
    <t>1000mm</t>
  </si>
  <si>
    <t>1400mm</t>
  </si>
  <si>
    <t>2000mm</t>
  </si>
  <si>
    <t>Solenoid Valves</t>
  </si>
  <si>
    <t>IFM</t>
  </si>
  <si>
    <t>Flow Switch</t>
  </si>
  <si>
    <t>Pressure Transducer</t>
  </si>
  <si>
    <t>Pressure Switch</t>
  </si>
  <si>
    <t>Air Flow Transmitter</t>
  </si>
  <si>
    <t>Thumbsuck</t>
  </si>
  <si>
    <t>DO Sensor</t>
  </si>
  <si>
    <t>Spectrum</t>
  </si>
  <si>
    <t>Spectrum Radio</t>
  </si>
  <si>
    <t>Banner</t>
  </si>
  <si>
    <t>Banner Remote Communication</t>
  </si>
  <si>
    <t>UPS</t>
  </si>
  <si>
    <t>Junction Box</t>
  </si>
  <si>
    <t>Vapour Proof Fitting with Bulbs</t>
  </si>
  <si>
    <t>Light Switch</t>
  </si>
  <si>
    <t>Apple</t>
  </si>
  <si>
    <t>Nuts and Bolts</t>
  </si>
  <si>
    <t>HB Systems</t>
  </si>
  <si>
    <t>Busbar Labour (HBS)</t>
  </si>
  <si>
    <t>Electro</t>
  </si>
  <si>
    <t>Busbar Terminals</t>
  </si>
  <si>
    <t>Busbar Holders</t>
  </si>
  <si>
    <t>Busbar Heat Shrink</t>
  </si>
  <si>
    <t>Busbar Clamps</t>
  </si>
  <si>
    <t>Busbar Insulators</t>
  </si>
  <si>
    <t>Busbars Flexible</t>
  </si>
  <si>
    <t>Busbars</t>
  </si>
  <si>
    <t>KJ02A</t>
  </si>
  <si>
    <t>Distrubution Blocks</t>
  </si>
  <si>
    <t>KJ02C</t>
  </si>
  <si>
    <t>KJ02D</t>
  </si>
  <si>
    <t>080010-0-4</t>
  </si>
  <si>
    <t>FLL-300565U-IRM</t>
  </si>
  <si>
    <t>Panel LED Lamp</t>
  </si>
  <si>
    <t>Cable Tray External</t>
  </si>
  <si>
    <t>200mm</t>
  </si>
  <si>
    <t>Cable Tray Light Duty</t>
  </si>
  <si>
    <t>100mm</t>
  </si>
  <si>
    <t>Rittal</t>
  </si>
  <si>
    <t>Panel Aircon</t>
  </si>
  <si>
    <t>10A Fuses</t>
  </si>
  <si>
    <t>Fuse Holder</t>
  </si>
  <si>
    <t>1250VA Transformer</t>
  </si>
  <si>
    <t>MJ Engraving</t>
  </si>
  <si>
    <t>RACP-400</t>
  </si>
  <si>
    <t>Heater 400W</t>
  </si>
  <si>
    <t>RACP-250</t>
  </si>
  <si>
    <t>Heater 250W</t>
  </si>
  <si>
    <t>RACP-80</t>
  </si>
  <si>
    <t>Heater 80W</t>
  </si>
  <si>
    <t>RACP-45</t>
  </si>
  <si>
    <t>Heater 45W</t>
  </si>
  <si>
    <t>RACP-15</t>
  </si>
  <si>
    <t>Heater 15W</t>
  </si>
  <si>
    <t>IGR35F</t>
  </si>
  <si>
    <t>Hygrostat</t>
  </si>
  <si>
    <t>FF15A230UF</t>
  </si>
  <si>
    <t>Panel Fans</t>
  </si>
  <si>
    <t>FF12A230UF</t>
  </si>
  <si>
    <t>FF08A230UN</t>
  </si>
  <si>
    <t>TRT-10A230V-NO</t>
  </si>
  <si>
    <t>Thermostat</t>
  </si>
  <si>
    <t>ST315</t>
  </si>
  <si>
    <t>24VAC Transformer</t>
  </si>
  <si>
    <t>HT Size 6 with Nut &amp; Shroud</t>
  </si>
  <si>
    <t>Gland Armoured 6</t>
  </si>
  <si>
    <t>HT Size 5 with Nut &amp; Shroud</t>
  </si>
  <si>
    <t>Gland Armoured 5</t>
  </si>
  <si>
    <t>HT Size 4 with Nut &amp; Shroud</t>
  </si>
  <si>
    <t>Gland Armoured 4</t>
  </si>
  <si>
    <t>HT Size 3 with Nut &amp; Shroud</t>
  </si>
  <si>
    <t>Gland Armoured 3</t>
  </si>
  <si>
    <t>HT Size 2 with Nut &amp; Shroud</t>
  </si>
  <si>
    <t>Gland Armoured 2</t>
  </si>
  <si>
    <t>HT Size 1 with Nut &amp; Shroud</t>
  </si>
  <si>
    <t>Gland Armoured 1</t>
  </si>
  <si>
    <t>HT Size 0 with Nut &amp; Shroud</t>
  </si>
  <si>
    <t>Gland Armoured 0</t>
  </si>
  <si>
    <t>Terminals 25mm</t>
  </si>
  <si>
    <t>Terminals 16mm</t>
  </si>
  <si>
    <t>Terminals 10mm</t>
  </si>
  <si>
    <t>Terminals 6mm</t>
  </si>
  <si>
    <t>Terminals 4mm</t>
  </si>
  <si>
    <t>Terminals 2,5mm</t>
  </si>
  <si>
    <t>TSL080100</t>
  </si>
  <si>
    <t>Trunking</t>
  </si>
  <si>
    <t>TSL080080</t>
  </si>
  <si>
    <t>TSL080060</t>
  </si>
  <si>
    <t>TSL080040</t>
  </si>
  <si>
    <t>TSL080025</t>
  </si>
  <si>
    <t>ADR1200/F5A</t>
  </si>
  <si>
    <t>DIN Rail (2 meter)</t>
  </si>
  <si>
    <t>Voltmeter Selector Switch</t>
  </si>
  <si>
    <t>Ammeter Selector Switch</t>
  </si>
  <si>
    <t>Voltmeter</t>
  </si>
  <si>
    <t>Hourmeter</t>
  </si>
  <si>
    <t>BEA05AT</t>
  </si>
  <si>
    <t>Ammeter 10/5A</t>
  </si>
  <si>
    <t>Ammeter 5/5A</t>
  </si>
  <si>
    <t>ERB05A</t>
  </si>
  <si>
    <t>Ammeter 5/5A Max Demand</t>
  </si>
  <si>
    <t>WSK40-31070 (74)</t>
  </si>
  <si>
    <t>CT 25/5 - 30/5</t>
  </si>
  <si>
    <t>WSK30-30022 (24,26,28)</t>
  </si>
  <si>
    <t>CT 5/5 - 20/5</t>
  </si>
  <si>
    <t>5SY7216-7CC</t>
  </si>
  <si>
    <t>16A Breaker 2p</t>
  </si>
  <si>
    <t>136.5123-414</t>
  </si>
  <si>
    <t>3 point Plug</t>
  </si>
  <si>
    <t>CD485Z</t>
  </si>
  <si>
    <t>Earth Leakage 4P 100A</t>
  </si>
  <si>
    <t>CD464J</t>
  </si>
  <si>
    <t>Earth Leakage 4P 63A</t>
  </si>
  <si>
    <t>CD226J</t>
  </si>
  <si>
    <t>Earth Leakage 2P 25A</t>
  </si>
  <si>
    <t>Surge Protection</t>
  </si>
  <si>
    <t>AH-03127-BS</t>
  </si>
  <si>
    <t>Minimatic /C</t>
  </si>
  <si>
    <t>Float Minimatic /C</t>
  </si>
  <si>
    <t>PR Converter</t>
  </si>
  <si>
    <t>BCS</t>
  </si>
  <si>
    <t>HE204</t>
  </si>
  <si>
    <t>Panel</t>
  </si>
  <si>
    <t>HE202</t>
  </si>
  <si>
    <t>HE205</t>
  </si>
  <si>
    <t>HE207</t>
  </si>
  <si>
    <t>HE208</t>
  </si>
  <si>
    <t>HE206</t>
  </si>
  <si>
    <t>Polycarb</t>
  </si>
  <si>
    <t>DB's</t>
  </si>
  <si>
    <t>TS Cabinet 600x2000x500, RAL7035</t>
  </si>
  <si>
    <t>Rubicon</t>
  </si>
  <si>
    <t>3RT2037-1KB40</t>
  </si>
  <si>
    <t>VSD Contactor 65A</t>
  </si>
  <si>
    <t>3RT2036-1KB40</t>
  </si>
  <si>
    <t>VSD Contactor 50A</t>
  </si>
  <si>
    <t>3RT2027-1BB40</t>
  </si>
  <si>
    <t>VSD Contactor 32A</t>
  </si>
  <si>
    <t>3RT2026-1BB40</t>
  </si>
  <si>
    <t>VSD Contactor 25A</t>
  </si>
  <si>
    <t>3RT2016-1BB41</t>
  </si>
  <si>
    <t>VSD Contactor 9A</t>
  </si>
  <si>
    <t>3NA3805</t>
  </si>
  <si>
    <t>16A VSD Fuse</t>
  </si>
  <si>
    <t>3NA3812</t>
  </si>
  <si>
    <t>32A VSD Fuse</t>
  </si>
  <si>
    <t>3NA3820</t>
  </si>
  <si>
    <t>50A VSD Fuse</t>
  </si>
  <si>
    <t>3NE1818-0</t>
  </si>
  <si>
    <t>63A VSD Fuse</t>
  </si>
  <si>
    <t>8UC7212-1BB20</t>
  </si>
  <si>
    <t>Door Operating Mechnism + shaft</t>
  </si>
  <si>
    <t>3RV2011-1FA10</t>
  </si>
  <si>
    <t>Fuse Disconnector</t>
  </si>
  <si>
    <t>3RT2015-1AP01</t>
  </si>
  <si>
    <t>3ne1820-0 (80A)</t>
  </si>
  <si>
    <t>3NE1 021- 0 (100A G120)</t>
  </si>
  <si>
    <t>Fuse Monitor Breaker</t>
  </si>
  <si>
    <t>3VL9800-3HF05</t>
  </si>
  <si>
    <t>3VL 7-8 Handle</t>
  </si>
  <si>
    <t>3VL9600-3HF05</t>
  </si>
  <si>
    <t>3VL 5-6 Handle</t>
  </si>
  <si>
    <t>3VL9400-3HF05</t>
  </si>
  <si>
    <t>3VL 4 Handle</t>
  </si>
  <si>
    <t>3VL9300-3HF05</t>
  </si>
  <si>
    <t>3VL 1-3 Handle</t>
  </si>
  <si>
    <t>3VL2710-1DC33-0AA0</t>
  </si>
  <si>
    <t>80-100A Main Breaker</t>
  </si>
  <si>
    <t>3VL2712-1DC33-0AA0</t>
  </si>
  <si>
    <t>100-125A Main Breaker</t>
  </si>
  <si>
    <t>3VL2716-1DC33-0AA0</t>
  </si>
  <si>
    <t>125-160A Main Breaker</t>
  </si>
  <si>
    <t>3VL3720-1DC36-0AA0</t>
  </si>
  <si>
    <t>160-200A Main Breaker</t>
  </si>
  <si>
    <t>3VL3725-1DC36-0AA0</t>
  </si>
  <si>
    <t>200-250A Main Breaker</t>
  </si>
  <si>
    <t>3VL4731-1DC36-0AA0</t>
  </si>
  <si>
    <t>250-315A Main Breaker</t>
  </si>
  <si>
    <t>3VL4740-1DC36-0AA0</t>
  </si>
  <si>
    <t>320-400A Main Breaker</t>
  </si>
  <si>
    <t>3VL5750-1DC36-0AA0</t>
  </si>
  <si>
    <t>400-500A Main Breaker</t>
  </si>
  <si>
    <t>3VL5763-1DC36-0AA0</t>
  </si>
  <si>
    <t>500-630A Main Breaker</t>
  </si>
  <si>
    <t>3VA2716-5DF02-0AA0-Z F11</t>
  </si>
  <si>
    <t>1600A Main Breaker</t>
  </si>
  <si>
    <t>3VA9157-0FK21</t>
  </si>
  <si>
    <t>3VL2716-1DK33-0AA0</t>
  </si>
  <si>
    <t>160A Door Breaker</t>
  </si>
  <si>
    <t>100A Door Breaker</t>
  </si>
  <si>
    <t>3VL2706-1DK33-0AA0</t>
  </si>
  <si>
    <t>63A Door Breaker</t>
  </si>
  <si>
    <t>3SU1102-6AA20-1AA0</t>
  </si>
  <si>
    <t>22mm RED 24VDC Door Light Complete</t>
  </si>
  <si>
    <t>3SU1102-6AA40-1AA0</t>
  </si>
  <si>
    <t>22mm Green 24VDC Door Light Complete</t>
  </si>
  <si>
    <t>3RW4037-1TB04</t>
  </si>
  <si>
    <t>Soft Starter 30Kw</t>
  </si>
  <si>
    <t>3RW4036-1BB04</t>
  </si>
  <si>
    <t>Soft Starter 22Kw</t>
  </si>
  <si>
    <t>3RW4028-1BB04</t>
  </si>
  <si>
    <t>Soft Starter 18.5Kw</t>
  </si>
  <si>
    <t>3RW4027-1BB04</t>
  </si>
  <si>
    <t>Soft Starter 15Kw</t>
  </si>
  <si>
    <t>3RW4026-1BB04</t>
  </si>
  <si>
    <t>Soft Starter 11Kw</t>
  </si>
  <si>
    <t>3RW4024-1BB05</t>
  </si>
  <si>
    <t>Soft Starter 7,5kW</t>
  </si>
  <si>
    <t>3RW4024-1BB04</t>
  </si>
  <si>
    <t>Soft Starter 5,5kW</t>
  </si>
  <si>
    <t>3SU1100-2BL60-1NA0</t>
  </si>
  <si>
    <t>3 POS Switch NO + NO</t>
  </si>
  <si>
    <t>3SU1100-2BF60-1BA0</t>
  </si>
  <si>
    <t>2 POS Switch 1 NO</t>
  </si>
  <si>
    <t>5SY7463-7CC</t>
  </si>
  <si>
    <t>63A 4P Breaker</t>
  </si>
  <si>
    <t>5SY7432-7CC</t>
  </si>
  <si>
    <t>32A 4P Breaker</t>
  </si>
  <si>
    <t>5SY7425-7CC</t>
  </si>
  <si>
    <t>25A 4P Breaker</t>
  </si>
  <si>
    <t>5SY7416-7CC</t>
  </si>
  <si>
    <t>16A 4P Breaker</t>
  </si>
  <si>
    <t>16A DP Breaker</t>
  </si>
  <si>
    <t>5SY7210-7CC</t>
  </si>
  <si>
    <t>10A DP Breaker</t>
  </si>
  <si>
    <t>5SY7110-7CC</t>
  </si>
  <si>
    <t>10A SP Breaker</t>
  </si>
  <si>
    <t>5SY7206-7CC</t>
  </si>
  <si>
    <t>6A DP Breaker</t>
  </si>
  <si>
    <t>5SY7106-7CC</t>
  </si>
  <si>
    <t>6A SP Breaker</t>
  </si>
  <si>
    <t>5SY7102-7CC</t>
  </si>
  <si>
    <t>2A SP Breaker</t>
  </si>
  <si>
    <t>5SY7101-7CC</t>
  </si>
  <si>
    <t>1A SP Breaker</t>
  </si>
  <si>
    <t>LZS:PT5A5T30</t>
  </si>
  <si>
    <t>230VAC Relay 4 pole</t>
  </si>
  <si>
    <t>LZS:PT5A5L24</t>
  </si>
  <si>
    <t>24VDC Relay 4 pole</t>
  </si>
  <si>
    <t>LZS:RT4A4T30</t>
  </si>
  <si>
    <t>230VAC Relay 2 pole</t>
  </si>
  <si>
    <t>LZS:RT4A4L24</t>
  </si>
  <si>
    <t>24VDC Relay 2 pole</t>
  </si>
  <si>
    <t>3RA1921-1DA00</t>
  </si>
  <si>
    <t>Link Module</t>
  </si>
  <si>
    <t>3RV2925-5AB</t>
  </si>
  <si>
    <t>Infeed Busbar</t>
  </si>
  <si>
    <t>3RV1915-1BB</t>
  </si>
  <si>
    <t>Busbar 3 MCCB's</t>
  </si>
  <si>
    <t>3SU1100-0AB10-1BA0</t>
  </si>
  <si>
    <t>3SU1100-1HB20-1CG0</t>
  </si>
  <si>
    <t>3RV2901-1E</t>
  </si>
  <si>
    <t>MCCB AUX</t>
  </si>
  <si>
    <t>3VL1103-1KM30-0AA0</t>
  </si>
  <si>
    <t>Motor Circuit Breaker 7.5KW VSD</t>
  </si>
  <si>
    <t>Motor Circuit Breaker 1.1KW VSD</t>
  </si>
  <si>
    <t>Motor Contactor 3KW 230VAC</t>
  </si>
  <si>
    <t>3RT2017-1BB41</t>
  </si>
  <si>
    <t>Motor Contactor 5.5KW 24VDC</t>
  </si>
  <si>
    <t>Motor Contactor 4KW 24VDC</t>
  </si>
  <si>
    <t>3RT2015-1BB41</t>
  </si>
  <si>
    <t>Motor Contactor 3KW 24VDC</t>
  </si>
  <si>
    <t>3RV2021-4BA10</t>
  </si>
  <si>
    <t>Motor Circuit Breaker (for 5.5KW VSD)</t>
  </si>
  <si>
    <t>3RV2021-4FA10</t>
  </si>
  <si>
    <t>Motor Circuit Breaker 34 - 40A</t>
  </si>
  <si>
    <t>3RV2011-1EA10</t>
  </si>
  <si>
    <t>Motor Circuit Breaker 2.8-4A</t>
  </si>
  <si>
    <t>3RV2011-1KA10</t>
  </si>
  <si>
    <t>Motor Circuit Breaker 9-12.5A</t>
  </si>
  <si>
    <t>3RV2011-1JA10</t>
  </si>
  <si>
    <t>Motor Circuit Breaker 7 - 10A</t>
  </si>
  <si>
    <t>3RV2011-1HA10</t>
  </si>
  <si>
    <t>Motor Circuit Breaker 5.5 - 8A</t>
  </si>
  <si>
    <t>3RV2011-1DA10</t>
  </si>
  <si>
    <t>Motor Circuit Breaker 2.2 - 3.2A</t>
  </si>
  <si>
    <t>3RV2011-1BA10</t>
  </si>
  <si>
    <t>Motor Circuit breaker 1.4 - 2A</t>
  </si>
  <si>
    <t>3RV2011-1GA10</t>
  </si>
  <si>
    <t>Motor Circuit breaker 4.5 - 6.3A</t>
  </si>
  <si>
    <t>3RV2011-1CA10</t>
  </si>
  <si>
    <t>Motor Circuit breaker 1.8 - 2.5</t>
  </si>
  <si>
    <t>3RV2011-1AA10</t>
  </si>
  <si>
    <t>Motor Circuit breaker 1.1 - 1,6</t>
  </si>
  <si>
    <t>7KM5212-6BA00-1EA2</t>
  </si>
  <si>
    <t>Power Monitor PAC5100</t>
  </si>
  <si>
    <t>7KM2200-2EA30-1EA1</t>
  </si>
  <si>
    <t>Power Monitor PAC2200</t>
  </si>
  <si>
    <t>7KM2111-1BA00-3AA0</t>
  </si>
  <si>
    <t>Power Monitor</t>
  </si>
  <si>
    <t>3UG4641-1CS20</t>
  </si>
  <si>
    <t>Cos Phi Monitor</t>
  </si>
  <si>
    <t>3UG4615-1CR20</t>
  </si>
  <si>
    <t>Voltage Monitor</t>
  </si>
  <si>
    <t>3UG4616-1CR20</t>
  </si>
  <si>
    <t>Switchgear</t>
  </si>
  <si>
    <t>PC Tower, 24" Screen, Keyboard mouse</t>
  </si>
  <si>
    <t>6AV2104-0FA05-0AH0</t>
  </si>
  <si>
    <t>2048 Tags Wincc Runtime PC</t>
  </si>
  <si>
    <t>6AV2102-2AA05-0BJ5</t>
  </si>
  <si>
    <t>Wincc Advanced</t>
  </si>
  <si>
    <t>6ES7822-1AE05-0YC5</t>
  </si>
  <si>
    <t>Step 7 Professional</t>
  </si>
  <si>
    <t>6ES7954-8LF03-0AA0</t>
  </si>
  <si>
    <t>PLC Memory Card</t>
  </si>
  <si>
    <t>6ES7590-1AE80-0AA0</t>
  </si>
  <si>
    <t>1500 Backplane 482mm</t>
  </si>
  <si>
    <t>6ES7592-1AM00-0XB0</t>
  </si>
  <si>
    <t>Analog Card Pins</t>
  </si>
  <si>
    <t>6EP1436-2BA10</t>
  </si>
  <si>
    <t xml:space="preserve">24VDC Power Supply (20A) </t>
  </si>
  <si>
    <t>6GK5224-0BA00-2AC2</t>
  </si>
  <si>
    <t>Scalance Switch</t>
  </si>
  <si>
    <t>6ES7532-5HF00-0AB0</t>
  </si>
  <si>
    <t>S7-1500 Analog 8out</t>
  </si>
  <si>
    <t>6ES7531-7KF00-0AB0</t>
  </si>
  <si>
    <t>S7-1500 Analog 8in</t>
  </si>
  <si>
    <t>6ES7523-1BL00-0AA0</t>
  </si>
  <si>
    <t>S7-1500 16in/16Out DI</t>
  </si>
  <si>
    <t>6ES7513-1AL01-0AB0</t>
  </si>
  <si>
    <t>1513 PLC</t>
  </si>
  <si>
    <t>6AV2181-8XP00-0AX0</t>
  </si>
  <si>
    <t>Memory Card</t>
  </si>
  <si>
    <t>6GK1720-1AH01-0BV0</t>
  </si>
  <si>
    <t>Sinema Software</t>
  </si>
  <si>
    <t>6NH9860-1AA00</t>
  </si>
  <si>
    <t>Antenna 5m</t>
  </si>
  <si>
    <t>6GK5908-0PB00</t>
  </si>
  <si>
    <t>Key-Plug Sinema</t>
  </si>
  <si>
    <t>6GK5874-3AA00-2AA2</t>
  </si>
  <si>
    <t>Scalance Sinema</t>
  </si>
  <si>
    <t>6AV2107-0CA00-0BH0</t>
  </si>
  <si>
    <t>Sm@rtServer Advance</t>
  </si>
  <si>
    <t>6GK5116-0BA00-2AB2</t>
  </si>
  <si>
    <t>Scalance switch 16 Port Unmanaged</t>
  </si>
  <si>
    <t>6GK5004-1GM10-1AB2</t>
  </si>
  <si>
    <t>4 Port Singlemode Switch 1gbps</t>
  </si>
  <si>
    <t>Ewon Netbiter</t>
  </si>
  <si>
    <t>6SL3256-0AP00-0JA0</t>
  </si>
  <si>
    <t>G120 BOP Doorkit</t>
  </si>
  <si>
    <t>6SL3255-0AA00-4JA2</t>
  </si>
  <si>
    <t>G120 IOP</t>
  </si>
  <si>
    <t>6SL3255-0AA00-4CA1</t>
  </si>
  <si>
    <t>G120 BOP</t>
  </si>
  <si>
    <t>6SL3243-0BB30-1FA0</t>
  </si>
  <si>
    <t>G120 CU230P-2PN</t>
  </si>
  <si>
    <t>6SL3244-0BB12-1FA0</t>
  </si>
  <si>
    <t>G120 CU240E-2PN</t>
  </si>
  <si>
    <t>6SE6400-3TC14-5FD0</t>
  </si>
  <si>
    <t>Output Reactor 145A</t>
  </si>
  <si>
    <t>6SL3000-2BE32-6AA0</t>
  </si>
  <si>
    <t>Output Reactor 260A</t>
  </si>
  <si>
    <t>6SL3000-2BE35-0AA0</t>
  </si>
  <si>
    <t>Output Reactor 490A</t>
  </si>
  <si>
    <t>6SL3203-0BE32-5AA0</t>
  </si>
  <si>
    <t>Line Filter 250A</t>
  </si>
  <si>
    <t>6SL3000-0BE36-0AA0</t>
  </si>
  <si>
    <t>External Line Filter 600A</t>
  </si>
  <si>
    <t>6SL3000-0CE33-3AA0</t>
  </si>
  <si>
    <t>Line Reactor 331A</t>
  </si>
  <si>
    <t>6SL3210-1PE18-0AL1</t>
  </si>
  <si>
    <t>G120 Filtered 3KW</t>
  </si>
  <si>
    <t>6SL3210-1PE21-4AL0</t>
  </si>
  <si>
    <t>G120 Filtered 4KW</t>
  </si>
  <si>
    <t>6SL3210-1PE21-8AL0</t>
  </si>
  <si>
    <t>G120 Filtered 7,5KW</t>
  </si>
  <si>
    <t>6SL3210-1PE22-7AL0</t>
  </si>
  <si>
    <t>G120 Filtered 11KW</t>
  </si>
  <si>
    <t>6SL3210-1PE23-8AL0</t>
  </si>
  <si>
    <t>G120 Filtered 18,5KW</t>
  </si>
  <si>
    <t>6SL3210-1PE24-5AL0</t>
  </si>
  <si>
    <t>G120 Filtered 22KW</t>
  </si>
  <si>
    <t>6SL3211-1PE27-5AL0</t>
  </si>
  <si>
    <t>G120 Filtered 30KW</t>
  </si>
  <si>
    <t>6SL3210-1PE31-5AL0</t>
  </si>
  <si>
    <t>G120 Filtered 55KW</t>
  </si>
  <si>
    <t>6SL3210-1PE32-5AL0</t>
  </si>
  <si>
    <t>G120 Filtered 132KW</t>
  </si>
  <si>
    <t>6SL3224-0XE42-0UA0</t>
  </si>
  <si>
    <t>G120 Filtered 200KW</t>
  </si>
  <si>
    <t>6SL3255-0VA00-2AA1</t>
  </si>
  <si>
    <t>V20 BOP Ethernet</t>
  </si>
  <si>
    <t>6SL3255-0VA00-4BA1</t>
  </si>
  <si>
    <t>V20 BOP</t>
  </si>
  <si>
    <t>6SL3210-5BE17-5UV0</t>
  </si>
  <si>
    <t>V20 Output Reactor</t>
  </si>
  <si>
    <t>V20 0.75Kw</t>
  </si>
  <si>
    <t>6SL3210-5BE21-1UV0</t>
  </si>
  <si>
    <t>V20 1.1Kw</t>
  </si>
  <si>
    <t>6SL3210-5BE21-5UV0</t>
  </si>
  <si>
    <t>V20 1.5Kw</t>
  </si>
  <si>
    <t>6SL3210-5BE22-2CV0</t>
  </si>
  <si>
    <t>6SL3210-5BE23-0UV0</t>
  </si>
  <si>
    <t>V20 3kW</t>
  </si>
  <si>
    <t>6SL3210-5BE24-0UV0</t>
  </si>
  <si>
    <t>V20 4kW</t>
  </si>
  <si>
    <t>6SL3210-5BE25-5UV0</t>
  </si>
  <si>
    <t>V20 5.5Kw</t>
  </si>
  <si>
    <t>6SL3210-5BE27-5UV0</t>
  </si>
  <si>
    <t>V20 7.5KW</t>
  </si>
  <si>
    <t>6SL3210-5BE31-1UV0</t>
  </si>
  <si>
    <t>V20 11KW</t>
  </si>
  <si>
    <t>6SL3210-5BE31-8UV0</t>
  </si>
  <si>
    <t>6EP1437-2BA20</t>
  </si>
  <si>
    <t>Power Supply 40A 400V</t>
  </si>
  <si>
    <t>Power Supply 20A 400V</t>
  </si>
  <si>
    <t>6EP1433-2BA20</t>
  </si>
  <si>
    <t>Power Supply 5A 400V</t>
  </si>
  <si>
    <t>6AV2124-0QC02-0AX1</t>
  </si>
  <si>
    <t>HMI 15" Comfort</t>
  </si>
  <si>
    <t>6AV2124-0MC01-0AX0</t>
  </si>
  <si>
    <t>HMI 12" Comfort</t>
  </si>
  <si>
    <t>6AV2123-2MA03-0AX0</t>
  </si>
  <si>
    <t xml:space="preserve">HMI 12" </t>
  </si>
  <si>
    <t>6AV2123-2JB03-0AX0</t>
  </si>
  <si>
    <t>HMI 9" Basic</t>
  </si>
  <si>
    <t>6AV2123-2GB03-0AX0</t>
  </si>
  <si>
    <t>HMI 7" Basic</t>
  </si>
  <si>
    <t>6AV2124-2DC01-0AX0</t>
  </si>
  <si>
    <t>HMI 4" Comfort</t>
  </si>
  <si>
    <t>6AV2123-2DB03-0AX0</t>
  </si>
  <si>
    <t>HMI 4" Basic</t>
  </si>
  <si>
    <t>Digital In/out 16</t>
  </si>
  <si>
    <t>Digital In/out 8</t>
  </si>
  <si>
    <t>Analog Out 4</t>
  </si>
  <si>
    <t>Analog in 4 / out 2</t>
  </si>
  <si>
    <t>Analog Input 8</t>
  </si>
  <si>
    <t>Analog Input 4</t>
  </si>
  <si>
    <t>6ES7212-1AE40-0XB0</t>
  </si>
  <si>
    <t>6ES7223-1BL32-0XB0</t>
  </si>
  <si>
    <t>6ES7223-1BH32-0XB0</t>
  </si>
  <si>
    <t>6ES7232-4HD32-0XB0</t>
  </si>
  <si>
    <t>6ES7234-4HE32-0XB0</t>
  </si>
  <si>
    <t>6ES7231-4HF32-0XB0</t>
  </si>
  <si>
    <t>6ES7231-4HD32-0XB0</t>
  </si>
  <si>
    <t>PLC 1212</t>
  </si>
  <si>
    <t>6ES7214-1AG40-0XB0</t>
  </si>
  <si>
    <t>PLC 1214</t>
  </si>
  <si>
    <t>6ES7215-1AG40-0XB0</t>
  </si>
  <si>
    <t>PLC 1215</t>
  </si>
  <si>
    <t>6ED1055-1FB10-0BA2</t>
  </si>
  <si>
    <t>LOGO! 230VAC 8in/8out Module</t>
  </si>
  <si>
    <t>6ED1055-1FB00-0BA2</t>
  </si>
  <si>
    <t>LOGO! 230VAC 4in/4out Module</t>
  </si>
  <si>
    <t>6ED1055-1NB10-0BA2</t>
  </si>
  <si>
    <t>LOGO! 24VDC 8in/8out Module</t>
  </si>
  <si>
    <t>6ED1055-1HB00-0BA2</t>
  </si>
  <si>
    <t>LOGO! 24VDC 4in/4out Module</t>
  </si>
  <si>
    <t>LOGO! 230VAC</t>
  </si>
  <si>
    <t>LOGO! 24VDC</t>
  </si>
  <si>
    <t>Automation</t>
  </si>
  <si>
    <t>Sell:</t>
  </si>
  <si>
    <t>Mark Up:</t>
  </si>
  <si>
    <t>Cost:</t>
  </si>
  <si>
    <t>Discount:</t>
  </si>
  <si>
    <t>List Price:</t>
  </si>
  <si>
    <t>Quantity:</t>
  </si>
  <si>
    <t>NEW Product code:</t>
  </si>
  <si>
    <t>Supplier:</t>
  </si>
  <si>
    <t>Item:</t>
  </si>
  <si>
    <t>Designation</t>
  </si>
  <si>
    <t>Morne Viljoen</t>
  </si>
  <si>
    <t>Project:</t>
  </si>
  <si>
    <t>Endress + Hauser</t>
  </si>
  <si>
    <t>Transmitter 2 xhannel</t>
  </si>
  <si>
    <t>PH Probe</t>
  </si>
  <si>
    <t>Turbidity Sensor + Holder</t>
  </si>
  <si>
    <t>Modbus Module CM1241</t>
  </si>
  <si>
    <t>6ES7241-1CH32-0XB0</t>
  </si>
  <si>
    <t>V20 2,2kW</t>
  </si>
  <si>
    <t>Update 3VA Breakers Page 2/10 small catalog</t>
  </si>
  <si>
    <t>Panel Build</t>
  </si>
  <si>
    <t>Container / Skid Installation</t>
  </si>
  <si>
    <t>On Site Installation</t>
  </si>
  <si>
    <t>Cable Installation</t>
  </si>
  <si>
    <t>Ex Vat, Ex Markup</t>
  </si>
  <si>
    <t>MCC + Equipment</t>
  </si>
  <si>
    <t>Remote Monitoring</t>
  </si>
  <si>
    <t>Remote Programming</t>
  </si>
  <si>
    <t>Multicore cable</t>
  </si>
  <si>
    <t>7core braided screen 1,5mm2</t>
  </si>
  <si>
    <t>medium duty 300mm</t>
  </si>
  <si>
    <t>Ewon Flexy 205</t>
  </si>
  <si>
    <t xml:space="preserve">Ewon </t>
  </si>
  <si>
    <t>Alveo</t>
  </si>
  <si>
    <t>Instruments</t>
  </si>
  <si>
    <t>Extras</t>
  </si>
  <si>
    <t>Cable + Trays</t>
  </si>
  <si>
    <t>Label Printer</t>
  </si>
  <si>
    <t>Commissioning on site</t>
  </si>
  <si>
    <t>Panel Manufacturing</t>
  </si>
  <si>
    <t>Software Development</t>
  </si>
  <si>
    <t>Coc</t>
  </si>
  <si>
    <t>G120 Filtered 15KW</t>
  </si>
  <si>
    <t>6SL3210-1PE23-3AL0</t>
  </si>
  <si>
    <t>4A SP Breaker</t>
  </si>
  <si>
    <t>4A DP Breaker</t>
  </si>
  <si>
    <t>5SY7104-7CC</t>
  </si>
  <si>
    <t>5SY7204-7CC</t>
  </si>
  <si>
    <t>3VA1110-5MH36-0AA0</t>
  </si>
  <si>
    <t>Door handle for 3VA1</t>
  </si>
  <si>
    <t>PSM4-20/400 TT IR</t>
  </si>
  <si>
    <t>PSM4-40/400 TT IR</t>
  </si>
  <si>
    <t>136.5121-303</t>
  </si>
  <si>
    <t>SCAME</t>
  </si>
  <si>
    <t>Conduit PVC</t>
  </si>
  <si>
    <t>Conduit Bosal</t>
  </si>
  <si>
    <t>Conduit Bosal Bend</t>
  </si>
  <si>
    <t>25mm</t>
  </si>
  <si>
    <t>Conduit PVC Bend</t>
  </si>
  <si>
    <t>2m</t>
  </si>
  <si>
    <t>Design</t>
  </si>
  <si>
    <t>2.5mm² BCEC</t>
  </si>
  <si>
    <t>4mm² BCEC</t>
  </si>
  <si>
    <t>6mm² BCEC</t>
  </si>
  <si>
    <t>10mm² BCEC</t>
  </si>
  <si>
    <t>16mm² BCEC</t>
  </si>
  <si>
    <t>25mm² BCEC</t>
  </si>
  <si>
    <t>35mm² BCEC</t>
  </si>
  <si>
    <t>50mm² BCEC</t>
  </si>
  <si>
    <t>75mm² BCEC</t>
  </si>
  <si>
    <t>95mm² BCEC</t>
  </si>
  <si>
    <t>120mm² BCEC</t>
  </si>
  <si>
    <t>185mm² BCEC</t>
  </si>
  <si>
    <t>people</t>
  </si>
  <si>
    <t>5SY Auxilary</t>
  </si>
  <si>
    <t>5ST3010</t>
  </si>
  <si>
    <t>6ES7221-1BH32-0XB0</t>
  </si>
  <si>
    <t>Digital Input 8</t>
  </si>
  <si>
    <t>Digital Input 16</t>
  </si>
  <si>
    <t>6ES7221-1BF32-0XB0</t>
  </si>
  <si>
    <t>Digital Output 8</t>
  </si>
  <si>
    <t>Digital Output 16</t>
  </si>
  <si>
    <t>6ES7222-1BF32-0XB0</t>
  </si>
  <si>
    <t>6ES7222-1BH32-0XB0</t>
  </si>
  <si>
    <t>63A 3 Pole Isolator</t>
  </si>
  <si>
    <t>3LD2504-0TK53</t>
  </si>
  <si>
    <t>32A 3 Pole Isolator</t>
  </si>
  <si>
    <t>25A 3 Pole Isolator</t>
  </si>
  <si>
    <t>16A 3 Pole Isolator</t>
  </si>
  <si>
    <t>3LD2003-0TK53</t>
  </si>
  <si>
    <t>3LD2103-0TK53</t>
  </si>
  <si>
    <t>3LD2203-0TK53</t>
  </si>
  <si>
    <t>100A 3 Pole Isolator</t>
  </si>
  <si>
    <t>3LD2704-0TK53</t>
  </si>
  <si>
    <t xml:space="preserve">Commissioning </t>
  </si>
  <si>
    <t>G120 Filtered 2,2KW</t>
  </si>
  <si>
    <t>G120 Filtered 1,5KW</t>
  </si>
  <si>
    <t>G120 Filtered 1,1KW</t>
  </si>
  <si>
    <t>G120 Filtered 0,75KW</t>
  </si>
  <si>
    <t>G120 Filtered 0,55KW</t>
  </si>
  <si>
    <t>6SL3210-1PE11-8AL1</t>
  </si>
  <si>
    <t>6SL3210-1PE12-3AL1</t>
  </si>
  <si>
    <t>6SL3210-1PE13-2AL1</t>
  </si>
  <si>
    <t>6SL3210-1PE14-3AL1</t>
  </si>
  <si>
    <t>6SL3210-1PE16-1AL1</t>
  </si>
  <si>
    <t>digital</t>
  </si>
  <si>
    <t>Outdoor Lights + Cable Ladders</t>
  </si>
  <si>
    <t>Siemens Process Historian</t>
  </si>
  <si>
    <t>Siemens Process Historian IPC</t>
  </si>
  <si>
    <t>16A 4 Pole Manual Changeover</t>
  </si>
  <si>
    <t>32A 4 Pole Manual Changeover</t>
  </si>
  <si>
    <t>63A 4 Pole Manual Changeover</t>
  </si>
  <si>
    <t>80A 4 Pole Manual Changeover</t>
  </si>
  <si>
    <t>100A 4 Pole Manual Changeover</t>
  </si>
  <si>
    <t>125A 4 Pole Manual Changeover</t>
  </si>
  <si>
    <t>160A 4 Pole Manual Changeover</t>
  </si>
  <si>
    <t>3KC0416-2ME00-0AA0</t>
  </si>
  <si>
    <t>3KC0422-2ME00-0AA0</t>
  </si>
  <si>
    <t>3KC0426-2ME00-0AA0</t>
  </si>
  <si>
    <t>3KC0428-2NE00-0AA0</t>
  </si>
  <si>
    <t>3KC0430-2NE00-0AA0</t>
  </si>
  <si>
    <t>3KC0432-2NE00-0AA0</t>
  </si>
  <si>
    <t>3KC0434-2NE00-0AA0</t>
  </si>
  <si>
    <t xml:space="preserve">Wire Numbers </t>
  </si>
  <si>
    <t>Cable Tags</t>
  </si>
  <si>
    <t>Panel Label Sticker</t>
  </si>
  <si>
    <t>8x pumps no</t>
  </si>
  <si>
    <t>I/O count</t>
  </si>
  <si>
    <t>3Ph Plug</t>
  </si>
  <si>
    <t>Markup</t>
  </si>
  <si>
    <t>Total Excl VAT</t>
  </si>
  <si>
    <t>Excl VAT, Excl Markup</t>
  </si>
  <si>
    <t>1ph</t>
  </si>
  <si>
    <t>3ph</t>
  </si>
  <si>
    <t>ORP Probe</t>
  </si>
  <si>
    <t>6SL3210-5BE31-5CV0</t>
  </si>
  <si>
    <t>Workshop Installation</t>
  </si>
  <si>
    <t>Site Installation</t>
  </si>
  <si>
    <t>Siren IP44</t>
  </si>
  <si>
    <t>Siren IP65</t>
  </si>
  <si>
    <t>SIR E LED Junior</t>
  </si>
  <si>
    <t>12 - 24VAC/DC</t>
  </si>
  <si>
    <t>PSM2-20/230 TT IR</t>
  </si>
  <si>
    <t>PSM4-40/230 TT IR</t>
  </si>
  <si>
    <t>Fuses</t>
  </si>
  <si>
    <t>Gland M20</t>
  </si>
  <si>
    <t>PMGB20-13.5B</t>
  </si>
  <si>
    <t>PK6524</t>
  </si>
  <si>
    <t>SP0,5 - 10bar / RSP 0, - 9,8bar</t>
  </si>
  <si>
    <t>RADIO'S</t>
  </si>
  <si>
    <t>CONDUCTIVITY</t>
  </si>
  <si>
    <t>DISSOLVED OXYGEN</t>
  </si>
  <si>
    <t>AIRFLOW</t>
  </si>
  <si>
    <t>PRESSURE SWITCH</t>
  </si>
  <si>
    <t>PRESSURE TRANSDUCER</t>
  </si>
  <si>
    <t>FLOW SWITCH</t>
  </si>
  <si>
    <t>FLOW SENSORS</t>
  </si>
  <si>
    <t>ULTRASONIC LEVEL SENSORS</t>
  </si>
  <si>
    <t>FUEL LEVEL SENSORS</t>
  </si>
  <si>
    <t>HYDROSTATIC LEVEL SENSORS</t>
  </si>
  <si>
    <t>SOLENOID VALVES</t>
  </si>
  <si>
    <t>FLOAT LEVEL SWITCHES</t>
  </si>
  <si>
    <t>Extra's</t>
  </si>
  <si>
    <t>3VA1020-2ED42-0AA0</t>
  </si>
  <si>
    <t>3VA1080-2ED42-0AA0</t>
  </si>
  <si>
    <t>3VA1010-2ED42-0AA0</t>
  </si>
  <si>
    <t>16kA</t>
  </si>
  <si>
    <t>TIA Selection</t>
  </si>
  <si>
    <t>PLC + MMC</t>
  </si>
  <si>
    <t>HMI</t>
  </si>
  <si>
    <t>PLC Modules</t>
  </si>
  <si>
    <t>Power Supplies</t>
  </si>
  <si>
    <t>Endress &amp; Hauser</t>
  </si>
  <si>
    <t>Flowmeter Remote Transmitter Modbus DN200</t>
  </si>
  <si>
    <t>Flowmeter Remote Transmitter Modbus DN250</t>
  </si>
  <si>
    <t>5W4C2F-M674/0</t>
  </si>
  <si>
    <t>5W4C2H-X417/0</t>
  </si>
  <si>
    <t>CT 100A - 800A / 5A</t>
  </si>
  <si>
    <t>ASK41.4</t>
  </si>
  <si>
    <t>4P Breaker 16A - 63A</t>
  </si>
  <si>
    <t xml:space="preserve">4P Breaker 80A  </t>
  </si>
  <si>
    <t xml:space="preserve">4P Breaker 100A </t>
  </si>
  <si>
    <t xml:space="preserve">3P Breaker 16A - 63A </t>
  </si>
  <si>
    <t xml:space="preserve">3P Breaker 80A </t>
  </si>
  <si>
    <t xml:space="preserve">3P Breaker 100A </t>
  </si>
  <si>
    <t>3VA1096-2ED32-0AA0</t>
  </si>
  <si>
    <t>3VA1080-2ED32-0AA0</t>
  </si>
  <si>
    <t>3VA1010-2ED32-0AA0</t>
  </si>
  <si>
    <t>3P Terminal Cover</t>
  </si>
  <si>
    <t>3VA9111-0WF40</t>
  </si>
  <si>
    <t>Extended Cover</t>
  </si>
  <si>
    <t>4P Terminal Cover</t>
  </si>
  <si>
    <t>3VA9111-0WF30</t>
  </si>
  <si>
    <t>3P Door Handle</t>
  </si>
  <si>
    <t>Door Handle</t>
  </si>
  <si>
    <t>4P Door Handle</t>
  </si>
  <si>
    <t>16A 3 Pole Box Isolator</t>
  </si>
  <si>
    <t>25A 3 Pole Box Isolator</t>
  </si>
  <si>
    <t>32A 3 Pole Box Isolator</t>
  </si>
  <si>
    <t>63A 3 Pole Box Isolator</t>
  </si>
  <si>
    <t>GAZ016</t>
  </si>
  <si>
    <t>GAZ025</t>
  </si>
  <si>
    <t>GAZ032</t>
  </si>
  <si>
    <t>GAZ040EM</t>
  </si>
  <si>
    <t>GAZ063EM</t>
  </si>
  <si>
    <t>125A 3 Pole Box Isolator</t>
  </si>
  <si>
    <t>GAZ125EM</t>
  </si>
  <si>
    <t>40A 3 Pole Box Isolator</t>
  </si>
  <si>
    <t>80A 3 Pole Box Isolator</t>
  </si>
  <si>
    <t>GAZ080EM</t>
  </si>
  <si>
    <t>SA4100</t>
  </si>
  <si>
    <t>100mm Probe</t>
  </si>
  <si>
    <t>SA4300</t>
  </si>
  <si>
    <t>200mm Probe</t>
  </si>
  <si>
    <t>Air Flow Sensor</t>
  </si>
  <si>
    <t>S2000</t>
  </si>
  <si>
    <t>DN50</t>
  </si>
  <si>
    <t>SDG070</t>
  </si>
  <si>
    <t>DN65</t>
  </si>
  <si>
    <t>SDG087</t>
  </si>
  <si>
    <t>DN80</t>
  </si>
  <si>
    <t>Ultrasonic Transmitter</t>
  </si>
  <si>
    <t>7ML5050-0AB11-1DA0</t>
  </si>
  <si>
    <t>LUT400</t>
  </si>
  <si>
    <t>7ML1100-1BA30</t>
  </si>
  <si>
    <t>ST-H</t>
  </si>
  <si>
    <t>Ultrasonic Controller</t>
  </si>
  <si>
    <t>7ML5201-0FB0</t>
  </si>
  <si>
    <t>FMU30</t>
  </si>
  <si>
    <t>Ultrasonic Transducer 0,3 - 10m</t>
  </si>
  <si>
    <t>FDU90-10X7/0</t>
  </si>
  <si>
    <t>Ultrasonic Transducer 3m</t>
  </si>
  <si>
    <t>FDU90</t>
  </si>
  <si>
    <t>FDU91-RG2BA</t>
  </si>
  <si>
    <t>FDU91</t>
  </si>
  <si>
    <t>Ultrasonic Transducer 10m</t>
  </si>
  <si>
    <t>FMU90-R11CA111AA1A</t>
  </si>
  <si>
    <t>Prosonic S FMU90</t>
  </si>
  <si>
    <t>FMU30-1020/0</t>
  </si>
  <si>
    <t>El Steel</t>
  </si>
  <si>
    <t>Selectivity Module</t>
  </si>
  <si>
    <t>6EP1961-2BA31</t>
  </si>
  <si>
    <t>Panel Labels Engraved</t>
  </si>
  <si>
    <t>Flowmeter Remote Transmitter Modbus DN50</t>
  </si>
  <si>
    <t>Endress</t>
  </si>
  <si>
    <t>50m</t>
  </si>
  <si>
    <t>5W4C50-AAELMN1AUD5KHA</t>
  </si>
  <si>
    <t>FMX21-AA211PGD15A</t>
  </si>
  <si>
    <t>Seneca GPRS3</t>
  </si>
  <si>
    <t>Visipraxis</t>
  </si>
  <si>
    <t>J(WVP)74 2.5mm² x 4 core No 108.90</t>
  </si>
  <si>
    <t>J(WVP)75 4mm² x 4 core No 108.90</t>
  </si>
  <si>
    <t>J(WVP)76 6mm² x 4 core No 151.25</t>
  </si>
  <si>
    <t>J(WVP)77 10mm² x 4 core No 151.25</t>
  </si>
  <si>
    <t>J(WVP)80 35mm² x 4 core No 217.80</t>
  </si>
  <si>
    <t>J(WVP)79 25mm² x 4 core No 181.50</t>
  </si>
  <si>
    <t>J(WVP)78 16mm² x 4 core No 181.50</t>
  </si>
  <si>
    <t>J(WVP)81 50mm² x 4 core No 302.50</t>
  </si>
  <si>
    <t>J(WVP)82 75mm² x 4 core No 302.50</t>
  </si>
  <si>
    <t>J(WVP)83 95mm² x 4 core No 393.25</t>
  </si>
  <si>
    <t>J(WVP)84 120mm² x 4 core No 544.50</t>
  </si>
  <si>
    <t>J(WVP)85 150mm² x 4 core No 665.50</t>
  </si>
  <si>
    <t>J(WVP)86 185mm² x 4 core No 786.50</t>
  </si>
  <si>
    <t>Power Supply LOGO 1.3A</t>
  </si>
  <si>
    <t>6EP3331-6SB00-0AY0</t>
  </si>
  <si>
    <t>Power Supply LOGO 2.5A</t>
  </si>
  <si>
    <t>6EP3332-6SB00-0AY0</t>
  </si>
  <si>
    <t>Power Supply LOGO 4A</t>
  </si>
  <si>
    <t>6EP3333-6SB00-0AY0</t>
  </si>
  <si>
    <t>WTP</t>
  </si>
  <si>
    <t>Project Name:</t>
  </si>
  <si>
    <t>Bokspruit WTP</t>
  </si>
  <si>
    <t>Project Commission Date:</t>
  </si>
  <si>
    <t>J.Fortuin</t>
  </si>
  <si>
    <t>Project Manager:</t>
  </si>
  <si>
    <t>Pumps / Mixers / Blower</t>
  </si>
  <si>
    <t>Item #</t>
  </si>
  <si>
    <t>Name</t>
  </si>
  <si>
    <t>Qty</t>
  </si>
  <si>
    <t>Location</t>
  </si>
  <si>
    <t>Type</t>
  </si>
  <si>
    <t>Start Method</t>
  </si>
  <si>
    <t>kW</t>
  </si>
  <si>
    <t>Amps</t>
  </si>
  <si>
    <t>3ph/1ph</t>
  </si>
  <si>
    <t>Feed Pump</t>
  </si>
  <si>
    <t>Container</t>
  </si>
  <si>
    <t>Grundfos NB 32-160</t>
  </si>
  <si>
    <t>Soft Starter</t>
  </si>
  <si>
    <t>Backwash Pump</t>
  </si>
  <si>
    <t>Grundfos NB 50-125</t>
  </si>
  <si>
    <t>High pressure Pump</t>
  </si>
  <si>
    <t>Grundfos CR32-6</t>
  </si>
  <si>
    <t>VSD</t>
  </si>
  <si>
    <t>Anti-sclent Dosing Pump</t>
  </si>
  <si>
    <t>Grundfos DDC 6-10</t>
  </si>
  <si>
    <t>Acid Dosing Pump</t>
  </si>
  <si>
    <t>CIP pump</t>
  </si>
  <si>
    <t>Porpoise 90/10</t>
  </si>
  <si>
    <t>DOL</t>
  </si>
  <si>
    <t>Floats / Sensors / Other</t>
  </si>
  <si>
    <t>Filtration/backwash control valves</t>
  </si>
  <si>
    <t>Media filters</t>
  </si>
  <si>
    <t xml:space="preserve">Electrically actuated </t>
  </si>
  <si>
    <t>DEMCA OM4 - 220V AC</t>
  </si>
  <si>
    <t>RO feed control valve</t>
  </si>
  <si>
    <t>Before RO Unit</t>
  </si>
  <si>
    <t>Solenoid Valve (24V DC)</t>
  </si>
  <si>
    <t>Bermad type</t>
  </si>
  <si>
    <t>Raw water level sensor</t>
  </si>
  <si>
    <t>raw water tank</t>
  </si>
  <si>
    <t>Micropilot FMR10</t>
  </si>
  <si>
    <t>(assume within 25m of container)</t>
  </si>
  <si>
    <t>treated water level sensor</t>
  </si>
  <si>
    <t>treated water tank</t>
  </si>
  <si>
    <t>Feed pump pressure sensor</t>
  </si>
  <si>
    <t>feed pump discharge</t>
  </si>
  <si>
    <t>E+H Cerabar PMC21</t>
  </si>
  <si>
    <t>RO high pressure pump discharge pressure sensor</t>
  </si>
  <si>
    <t>RO high pressure pump discharge</t>
  </si>
  <si>
    <t>RO high pressure pump feed pressure sensor</t>
  </si>
  <si>
    <t>RO high pressure pump feed</t>
  </si>
  <si>
    <t>Backwash pump discharge pressure sensor</t>
  </si>
  <si>
    <t>Backwash pump discharge</t>
  </si>
  <si>
    <t>Feed pump magflow</t>
  </si>
  <si>
    <t>E+H W400</t>
  </si>
  <si>
    <t>RO high pressure pump magflow</t>
  </si>
  <si>
    <t xml:space="preserve">RO high pressure pump discharge </t>
  </si>
  <si>
    <t xml:space="preserve">Backwash pump magflow </t>
  </si>
  <si>
    <t>DN100</t>
  </si>
  <si>
    <t>Treated water magflow</t>
  </si>
  <si>
    <t>Treated water discharge</t>
  </si>
  <si>
    <t>Feed EC sensor</t>
  </si>
  <si>
    <t>E+H Condumax CLS15D</t>
  </si>
  <si>
    <t>treated water EC sensor</t>
  </si>
  <si>
    <t>RO feed turbidity sensor</t>
  </si>
  <si>
    <t>RO feed</t>
  </si>
  <si>
    <t>E+H Turbimax CUS52D</t>
  </si>
  <si>
    <t>RO feed pH sensor</t>
  </si>
  <si>
    <t>E+H Orbipac CPF81D</t>
  </si>
  <si>
    <t xml:space="preserve">Two-instrument transmitter </t>
  </si>
  <si>
    <t>Feed pump discharge</t>
  </si>
  <si>
    <t>E+H Liquiline CM442</t>
  </si>
  <si>
    <t>Three-instrument transmitter</t>
  </si>
  <si>
    <t>E+H Liquiline CM444</t>
  </si>
  <si>
    <t xml:space="preserve">Treated water </t>
  </si>
  <si>
    <t>Control Philosophy</t>
  </si>
  <si>
    <t>Description</t>
  </si>
  <si>
    <t>Sign-off</t>
  </si>
  <si>
    <t>Programming Team</t>
  </si>
  <si>
    <t>Process Team</t>
  </si>
  <si>
    <t>Parameter List</t>
  </si>
  <si>
    <t>#</t>
  </si>
  <si>
    <t>UOM</t>
  </si>
  <si>
    <t>Value</t>
  </si>
  <si>
    <t>Panel Location:</t>
  </si>
  <si>
    <t>Possible Future Extra's:</t>
  </si>
  <si>
    <t>Other Notes:</t>
  </si>
  <si>
    <t>Include remote monitoring</t>
  </si>
  <si>
    <t>Totalized Bulk Watermeter readings must be displayed on HMI</t>
  </si>
  <si>
    <t>WTP must restart itself after a power failure</t>
  </si>
  <si>
    <t>DI</t>
  </si>
  <si>
    <t>DQ</t>
  </si>
  <si>
    <t>AI</t>
  </si>
  <si>
    <t>AQ</t>
  </si>
  <si>
    <t>Modbus</t>
  </si>
  <si>
    <t>QUOTE</t>
  </si>
  <si>
    <t>ADDRESS:</t>
  </si>
  <si>
    <t>9 VAN ZYL STREET</t>
  </si>
  <si>
    <t>DATE:</t>
  </si>
  <si>
    <t>GANTS PLAZA</t>
  </si>
  <si>
    <t>QUOTE #</t>
  </si>
  <si>
    <t>PHONE:</t>
  </si>
  <si>
    <t>Customer ID</t>
  </si>
  <si>
    <t>EMAIL:</t>
  </si>
  <si>
    <t>Valid Until:</t>
  </si>
  <si>
    <t>PREPARED BY:</t>
  </si>
  <si>
    <t>Customer</t>
  </si>
  <si>
    <t>ATTENTION:</t>
  </si>
  <si>
    <t>PREPARED FOR:</t>
  </si>
  <si>
    <t>DESCRIPTION</t>
  </si>
  <si>
    <t>REQ</t>
  </si>
  <si>
    <t>UNIT</t>
  </si>
  <si>
    <t>RATE</t>
  </si>
  <si>
    <t>AMOUNT</t>
  </si>
  <si>
    <t>ea</t>
  </si>
  <si>
    <t>[42]</t>
  </si>
  <si>
    <t>Subtotal</t>
  </si>
  <si>
    <t>TERMS AND CONDITIONS</t>
  </si>
  <si>
    <t>Tax rate</t>
  </si>
  <si>
    <t>1. Please email the accepted and signed quotation</t>
  </si>
  <si>
    <t>Tax due</t>
  </si>
  <si>
    <t>2. Please provide a customer order number</t>
  </si>
  <si>
    <t xml:space="preserve">3. Payment due on delivery of services and/or goods </t>
  </si>
  <si>
    <t>TOTAL DUE</t>
  </si>
  <si>
    <t>Print Name:</t>
  </si>
  <si>
    <t>Thank you for your business.</t>
  </si>
  <si>
    <t>If you have any questions about this quotation, please contact:</t>
  </si>
  <si>
    <t>Cost</t>
  </si>
  <si>
    <t xml:space="preserve"> Alveo Water</t>
  </si>
  <si>
    <t>Alveo Energy</t>
  </si>
  <si>
    <t>Alveo Water</t>
  </si>
  <si>
    <t>jordy@alveowater.co.za</t>
  </si>
  <si>
    <t>Software and Training</t>
  </si>
  <si>
    <t>6ED1052-1HB08-0BA0</t>
  </si>
  <si>
    <t>6ED1052-1FB08-0BA0</t>
  </si>
  <si>
    <t>V20 18.5/22KW</t>
  </si>
  <si>
    <t>V20 15kW</t>
  </si>
  <si>
    <t>6SL3203-0CE13-2AA0</t>
  </si>
  <si>
    <t>4A</t>
  </si>
  <si>
    <t>54A</t>
  </si>
  <si>
    <t>6SE6400-3TC05-4DD0</t>
  </si>
  <si>
    <t>6SL3202-0AE23-8CA0</t>
  </si>
  <si>
    <t>39A</t>
  </si>
  <si>
    <t>9A</t>
  </si>
  <si>
    <t>6SL3202-0AE18-8CA0</t>
  </si>
  <si>
    <t>18.5A</t>
  </si>
  <si>
    <t>6SL3202-0AE21-8CA0</t>
  </si>
  <si>
    <t>LU150</t>
  </si>
  <si>
    <t>End</t>
  </si>
  <si>
    <t>Failed Updates =</t>
  </si>
  <si>
    <t>6SL3210-1PE21-1AL0</t>
  </si>
  <si>
    <t>7MF1567-3CA00-2AA1</t>
  </si>
  <si>
    <t>P320</t>
  </si>
  <si>
    <t>P220</t>
  </si>
  <si>
    <t>-Siemens</t>
  </si>
  <si>
    <t>22mm Mushroom E-Stop Complete</t>
  </si>
  <si>
    <t>22mm Black Button Complete</t>
  </si>
  <si>
    <t>22mm 24VDC Buzzer Complete</t>
  </si>
  <si>
    <t>3SU1200-6KB10-1AA0</t>
  </si>
  <si>
    <t>22mm 2 Way Selector Switch Complete</t>
  </si>
  <si>
    <t>22mm 3 Way Selector Switch Complete</t>
  </si>
  <si>
    <t>Jeandre Kritzinger</t>
  </si>
  <si>
    <t>jeandre@alveowater.co.za</t>
  </si>
  <si>
    <t>Jordy Fortuin</t>
  </si>
  <si>
    <t>Patsy Maree</t>
  </si>
  <si>
    <t>Samantha Blignault</t>
  </si>
  <si>
    <t>WL Kruger</t>
  </si>
  <si>
    <t>Kenny Moreland</t>
  </si>
  <si>
    <t>Tim Bertrand</t>
  </si>
  <si>
    <t>Enaas Richards</t>
  </si>
  <si>
    <t>Meyer De Villiers</t>
  </si>
  <si>
    <t>Luzuko Bashe</t>
  </si>
  <si>
    <t>l.bashe@alveowater.co.za</t>
  </si>
  <si>
    <t>meyer@alveowater.co.za</t>
  </si>
  <si>
    <t>enaas@alveowater.co.za</t>
  </si>
  <si>
    <t>tim@alveowater.co.za</t>
  </si>
  <si>
    <t>Stephan Boessenkool</t>
  </si>
  <si>
    <t>wl@alveowater.co.za</t>
  </si>
  <si>
    <t>sam@alveowater.co.za</t>
  </si>
  <si>
    <t>patsy@alveowater.co.za</t>
  </si>
  <si>
    <t>stephan.boessenkool@alveowater.co.za</t>
  </si>
  <si>
    <t>kenny@alveowater.co.za</t>
  </si>
  <si>
    <t>D'andre Vosloo</t>
  </si>
  <si>
    <t>Kobus Burger</t>
  </si>
  <si>
    <t>Tinus Spangenberg</t>
  </si>
  <si>
    <t>GK Kufandada</t>
  </si>
  <si>
    <t>Prepared by:</t>
  </si>
  <si>
    <t>Attention:</t>
  </si>
  <si>
    <t>021 851 2576</t>
  </si>
  <si>
    <t>Travel (km to and from site)</t>
  </si>
  <si>
    <t>Travel</t>
  </si>
  <si>
    <t>Padenga 1A - SPS</t>
  </si>
  <si>
    <t>morne.viljoen@alveoenergy.co.za</t>
  </si>
  <si>
    <t>dandre.vosloo@alveoenergy.co.za</t>
  </si>
  <si>
    <t>kobus.burger@alveoenergy.co.za</t>
  </si>
  <si>
    <t>tinus.spangenberg@alveoenergy.co.za</t>
  </si>
  <si>
    <t>Customer Acceptance:</t>
  </si>
  <si>
    <t>Signature:</t>
  </si>
  <si>
    <t>EQ20-</t>
  </si>
  <si>
    <t xml:space="preserve"> ______________________________</t>
  </si>
  <si>
    <t xml:space="preserve"> ___________________________</t>
  </si>
  <si>
    <t>ORDER NO.</t>
  </si>
  <si>
    <t>PROJECT</t>
  </si>
  <si>
    <t>godknows.kufandada@alveoenergy.co.za</t>
  </si>
  <si>
    <t>Update Done</t>
  </si>
  <si>
    <t>EDS</t>
  </si>
  <si>
    <t>EQ20-022</t>
  </si>
  <si>
    <t>Oakhurst Primary</t>
  </si>
  <si>
    <t>Please Note:</t>
  </si>
  <si>
    <t>This is excluding any Travel to and from site.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</si>
</sst>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&quot;#,##0.00;[Red]\-&quot;R&quot;#,##0.00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&quot;R&quot;#,##0.00"/>
    <numFmt numFmtId="165" formatCode="_-[$R-1C09]* #,##0.00_-;\-[$R-1C09]* #,##0.00_-;_-[$R-1C09]* &quot;-&quot;??_-;_-@_-"/>
    <numFmt numFmtId="166" formatCode="0.000%"/>
  </numFmts>
  <fonts count="4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8"/>
      <color theme="0" tint="-0.499984740745262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8"/>
      <name val="Trebuchet MS"/>
      <family val="2"/>
    </font>
    <font>
      <b/>
      <sz val="10"/>
      <name val="Trebuchet MS"/>
      <family val="2"/>
    </font>
    <font>
      <b/>
      <sz val="11"/>
      <color indexed="9"/>
      <name val="Trebuchet MS"/>
      <family val="2"/>
    </font>
    <font>
      <sz val="10"/>
      <name val="Trebuchet MS"/>
      <family val="2"/>
    </font>
    <font>
      <sz val="11"/>
      <color indexed="9"/>
      <name val="Trebuchet MS"/>
      <family val="2"/>
    </font>
    <font>
      <b/>
      <sz val="10"/>
      <color indexed="9"/>
      <name val="Trebuchet MS"/>
      <family val="2"/>
    </font>
    <font>
      <sz val="11"/>
      <name val="Trebuchet MS"/>
      <family val="2"/>
    </font>
    <font>
      <b/>
      <sz val="11"/>
      <name val="Trebuchet MS"/>
      <family val="2"/>
    </font>
    <font>
      <i/>
      <sz val="10"/>
      <name val="Trebuchet MS"/>
      <family val="2"/>
    </font>
    <font>
      <b/>
      <sz val="26"/>
      <color theme="8" tint="-0.249977111117893"/>
      <name val="Trebuchet MS"/>
      <family val="2"/>
    </font>
    <font>
      <b/>
      <sz val="14"/>
      <color rgb="FFFF000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color rgb="FF0070C0"/>
      <name val="Arial"/>
      <family val="2"/>
    </font>
    <font>
      <u/>
      <sz val="11"/>
      <name val="Calibri"/>
      <family val="2"/>
      <scheme val="minor"/>
    </font>
    <font>
      <sz val="22"/>
      <color rgb="FF000000"/>
      <name val="Calibri"/>
      <family val="2"/>
    </font>
    <font>
      <u/>
      <sz val="11"/>
      <color theme="8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ouble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23"/>
      </bottom>
      <diagonal/>
    </border>
    <border>
      <left/>
      <right/>
      <top style="thin">
        <color theme="0" tint="-0.499984740745262"/>
      </top>
      <bottom style="thin">
        <color indexed="23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23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0">
    <xf numFmtId="0" fontId="0" fillId="0" borderId="0"/>
    <xf numFmtId="0" fontId="7" fillId="0" borderId="0"/>
    <xf numFmtId="0" fontId="9" fillId="0" borderId="0" applyNumberFormat="0" applyFill="0" applyBorder="0" applyAlignment="0" applyProtection="0"/>
    <xf numFmtId="0" fontId="7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438"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/>
    <xf numFmtId="164" fontId="0" fillId="0" borderId="0" xfId="0" applyNumberFormat="1"/>
    <xf numFmtId="0" fontId="0" fillId="0" borderId="11" xfId="0" applyBorder="1"/>
    <xf numFmtId="0" fontId="0" fillId="0" borderId="9" xfId="0" applyBorder="1"/>
    <xf numFmtId="0" fontId="0" fillId="0" borderId="12" xfId="0" applyBorder="1"/>
    <xf numFmtId="0" fontId="0" fillId="0" borderId="7" xfId="0" applyBorder="1"/>
    <xf numFmtId="0" fontId="0" fillId="0" borderId="8" xfId="0" applyBorder="1"/>
    <xf numFmtId="164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5" fillId="0" borderId="13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left"/>
    </xf>
    <xf numFmtId="164" fontId="4" fillId="0" borderId="11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10" xfId="0" applyFont="1" applyBorder="1"/>
    <xf numFmtId="0" fontId="3" fillId="0" borderId="10" xfId="0" applyFont="1" applyBorder="1" applyAlignment="1">
      <alignment horizontal="left"/>
    </xf>
    <xf numFmtId="0" fontId="3" fillId="0" borderId="8" xfId="0" applyFont="1" applyBorder="1"/>
    <xf numFmtId="0" fontId="2" fillId="0" borderId="7" xfId="0" applyFont="1" applyBorder="1"/>
    <xf numFmtId="164" fontId="3" fillId="0" borderId="8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164" fontId="3" fillId="0" borderId="6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0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5" xfId="0" applyBorder="1"/>
    <xf numFmtId="0" fontId="3" fillId="0" borderId="5" xfId="0" applyFont="1" applyBorder="1" applyAlignment="1">
      <alignment horizontal="center"/>
    </xf>
    <xf numFmtId="0" fontId="0" fillId="0" borderId="5" xfId="0" applyBorder="1" applyAlignment="1">
      <alignment horizontal="left"/>
    </xf>
    <xf numFmtId="0" fontId="3" fillId="0" borderId="9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8" fillId="0" borderId="7" xfId="1" applyFont="1" applyBorder="1" applyAlignment="1">
      <alignment vertical="top" wrapText="1"/>
    </xf>
    <xf numFmtId="0" fontId="8" fillId="0" borderId="0" xfId="1" applyFont="1" applyAlignment="1">
      <alignment vertical="top" wrapText="1"/>
    </xf>
    <xf numFmtId="0" fontId="3" fillId="0" borderId="7" xfId="0" applyFont="1" applyBorder="1"/>
    <xf numFmtId="164" fontId="3" fillId="0" borderId="0" xfId="0" applyNumberFormat="1" applyFont="1"/>
    <xf numFmtId="0" fontId="0" fillId="0" borderId="6" xfId="0" applyBorder="1"/>
    <xf numFmtId="0" fontId="2" fillId="0" borderId="4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164" fontId="1" fillId="0" borderId="8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0" borderId="0" xfId="2"/>
    <xf numFmtId="0" fontId="3" fillId="0" borderId="0" xfId="0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2" applyAlignment="1">
      <alignment horizontal="center"/>
    </xf>
    <xf numFmtId="0" fontId="9" fillId="0" borderId="0" xfId="2" applyAlignment="1">
      <alignment horizontal="center" vertical="center"/>
    </xf>
    <xf numFmtId="164" fontId="10" fillId="0" borderId="8" xfId="0" applyNumberFormat="1" applyFont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left"/>
    </xf>
    <xf numFmtId="0" fontId="11" fillId="0" borderId="0" xfId="2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2" applyAlignment="1">
      <alignment horizontal="center" wrapText="1"/>
    </xf>
    <xf numFmtId="0" fontId="3" fillId="0" borderId="10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1" fillId="0" borderId="0" xfId="0" applyFont="1"/>
    <xf numFmtId="0" fontId="12" fillId="0" borderId="14" xfId="0" applyFont="1" applyBorder="1" applyAlignment="1">
      <alignment horizontal="center"/>
    </xf>
    <xf numFmtId="0" fontId="0" fillId="0" borderId="0" xfId="0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4" fontId="3" fillId="0" borderId="8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7" fillId="0" borderId="0" xfId="0" applyFont="1"/>
    <xf numFmtId="0" fontId="15" fillId="0" borderId="6" xfId="0" applyFont="1" applyBorder="1" applyAlignment="1">
      <alignment horizontal="left" vertical="center"/>
    </xf>
    <xf numFmtId="0" fontId="0" fillId="0" borderId="0" xfId="0" quotePrefix="1" applyFont="1" applyAlignment="1">
      <alignment horizontal="center" vertical="center"/>
    </xf>
    <xf numFmtId="0" fontId="0" fillId="0" borderId="0" xfId="0" applyBorder="1"/>
    <xf numFmtId="0" fontId="0" fillId="0" borderId="4" xfId="0" applyBorder="1"/>
    <xf numFmtId="164" fontId="0" fillId="0" borderId="5" xfId="0" applyNumberFormat="1" applyBorder="1"/>
    <xf numFmtId="164" fontId="0" fillId="0" borderId="0" xfId="0" applyNumberFormat="1" applyBorder="1"/>
    <xf numFmtId="164" fontId="0" fillId="0" borderId="10" xfId="0" applyNumberFormat="1" applyBorder="1"/>
    <xf numFmtId="0" fontId="0" fillId="0" borderId="0" xfId="0" applyFont="1" applyAlignment="1">
      <alignment horizontal="center" vertical="center"/>
    </xf>
    <xf numFmtId="15" fontId="15" fillId="0" borderId="3" xfId="0" applyNumberFormat="1" applyFont="1" applyBorder="1" applyAlignment="1">
      <alignment horizontal="left"/>
    </xf>
    <xf numFmtId="8" fontId="0" fillId="0" borderId="0" xfId="0" applyNumberForma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0" fillId="0" borderId="3" xfId="0" applyFont="1" applyBorder="1" applyAlignment="1">
      <alignment horizontal="center"/>
    </xf>
    <xf numFmtId="164" fontId="13" fillId="2" borderId="3" xfId="0" applyNumberFormat="1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9" fillId="0" borderId="0" xfId="2" applyFill="1" applyAlignment="1">
      <alignment horizont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4" borderId="14" xfId="0" applyFill="1" applyBorder="1"/>
    <xf numFmtId="0" fontId="0" fillId="0" borderId="17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25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5" fillId="0" borderId="36" xfId="0" applyFont="1" applyBorder="1" applyAlignment="1">
      <alignment horizontal="left" vertical="top"/>
    </xf>
    <xf numFmtId="0" fontId="1" fillId="0" borderId="36" xfId="0" applyFont="1" applyBorder="1" applyAlignment="1">
      <alignment vertical="top"/>
    </xf>
    <xf numFmtId="0" fontId="1" fillId="0" borderId="37" xfId="0" applyFont="1" applyBorder="1" applyAlignment="1">
      <alignment vertical="top"/>
    </xf>
    <xf numFmtId="0" fontId="1" fillId="0" borderId="40" xfId="0" applyFont="1" applyBorder="1" applyAlignment="1">
      <alignment horizontal="left" vertical="top"/>
    </xf>
    <xf numFmtId="0" fontId="1" fillId="0" borderId="40" xfId="0" applyFont="1" applyBorder="1" applyAlignment="1">
      <alignment vertical="top"/>
    </xf>
    <xf numFmtId="0" fontId="1" fillId="0" borderId="34" xfId="0" applyFont="1" applyBorder="1" applyAlignment="1">
      <alignment vertical="top"/>
    </xf>
    <xf numFmtId="0" fontId="1" fillId="0" borderId="26" xfId="0" applyFont="1" applyBorder="1" applyAlignment="1">
      <alignment horizontal="left" vertical="top"/>
    </xf>
    <xf numFmtId="0" fontId="1" fillId="0" borderId="26" xfId="0" applyFont="1" applyBorder="1" applyAlignment="1">
      <alignment vertical="top"/>
    </xf>
    <xf numFmtId="0" fontId="1" fillId="0" borderId="27" xfId="0" applyFont="1" applyBorder="1" applyAlignment="1">
      <alignment vertical="top"/>
    </xf>
    <xf numFmtId="0" fontId="2" fillId="0" borderId="43" xfId="0" applyFont="1" applyBorder="1"/>
    <xf numFmtId="0" fontId="2" fillId="0" borderId="44" xfId="0" applyFont="1" applyBorder="1"/>
    <xf numFmtId="0" fontId="2" fillId="0" borderId="44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1" fillId="0" borderId="26" xfId="0" applyFont="1" applyBorder="1"/>
    <xf numFmtId="0" fontId="1" fillId="0" borderId="18" xfId="0" applyFont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1" fillId="0" borderId="48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7" fillId="0" borderId="0" xfId="0" applyFont="1" applyAlignment="1">
      <alignment horizontal="left"/>
    </xf>
    <xf numFmtId="3" fontId="0" fillId="0" borderId="0" xfId="0" quotePrefix="1" applyNumberFormat="1"/>
    <xf numFmtId="0" fontId="27" fillId="0" borderId="0" xfId="0" applyFont="1"/>
    <xf numFmtId="14" fontId="0" fillId="0" borderId="0" xfId="0" applyNumberFormat="1" applyAlignment="1">
      <alignment horizontal="center"/>
    </xf>
    <xf numFmtId="3" fontId="0" fillId="0" borderId="0" xfId="0" quotePrefix="1" applyNumberFormat="1" applyAlignment="1" applyProtection="1">
      <alignment horizontal="left"/>
      <protection locked="0"/>
    </xf>
    <xf numFmtId="0" fontId="9" fillId="0" borderId="0" xfId="2" applyAlignment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10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4" fontId="1" fillId="0" borderId="8" xfId="0" applyNumberFormat="1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/>
    <xf numFmtId="0" fontId="36" fillId="0" borderId="10" xfId="0" applyFont="1" applyBorder="1" applyAlignment="1">
      <alignment horizontal="center" vertical="center"/>
    </xf>
    <xf numFmtId="164" fontId="36" fillId="0" borderId="10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36" fillId="0" borderId="11" xfId="0" applyNumberFormat="1" applyFont="1" applyBorder="1" applyAlignment="1">
      <alignment horizontal="center" vertical="center"/>
    </xf>
    <xf numFmtId="0" fontId="11" fillId="0" borderId="0" xfId="2" applyFont="1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2" applyFont="1"/>
    <xf numFmtId="164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0" fontId="0" fillId="12" borderId="4" xfId="0" applyFill="1" applyBorder="1"/>
    <xf numFmtId="0" fontId="0" fillId="12" borderId="5" xfId="0" applyFill="1" applyBorder="1"/>
    <xf numFmtId="164" fontId="16" fillId="12" borderId="6" xfId="0" applyNumberFormat="1" applyFont="1" applyFill="1" applyBorder="1" applyAlignment="1">
      <alignment horizontal="center" vertical="center"/>
    </xf>
    <xf numFmtId="0" fontId="14" fillId="12" borderId="1" xfId="0" applyFont="1" applyFill="1" applyBorder="1"/>
    <xf numFmtId="10" fontId="3" fillId="12" borderId="3" xfId="0" applyNumberFormat="1" applyFont="1" applyFill="1" applyBorder="1"/>
    <xf numFmtId="164" fontId="16" fillId="12" borderId="8" xfId="0" applyNumberFormat="1" applyFont="1" applyFill="1" applyBorder="1" applyAlignment="1">
      <alignment horizontal="center" vertical="center"/>
    </xf>
    <xf numFmtId="0" fontId="0" fillId="12" borderId="1" xfId="0" applyFill="1" applyBorder="1"/>
    <xf numFmtId="0" fontId="0" fillId="12" borderId="3" xfId="0" applyFill="1" applyBorder="1"/>
    <xf numFmtId="0" fontId="0" fillId="12" borderId="8" xfId="0" applyFill="1" applyBorder="1"/>
    <xf numFmtId="0" fontId="37" fillId="0" borderId="0" xfId="2" applyFont="1" applyAlignment="1">
      <alignment horizontal="center"/>
    </xf>
    <xf numFmtId="0" fontId="37" fillId="0" borderId="0" xfId="2" applyFont="1" applyAlignment="1">
      <alignment horizontal="center" vertical="center"/>
    </xf>
    <xf numFmtId="0" fontId="37" fillId="0" borderId="0" xfId="2" applyFont="1" applyFill="1" applyAlignment="1">
      <alignment horizontal="center"/>
    </xf>
    <xf numFmtId="0" fontId="38" fillId="0" borderId="0" xfId="0" applyFont="1" applyAlignment="1">
      <alignment horizontal="center"/>
    </xf>
    <xf numFmtId="0" fontId="38" fillId="0" borderId="0" xfId="0" applyFont="1" applyFill="1"/>
    <xf numFmtId="0" fontId="38" fillId="0" borderId="0" xfId="0" applyFont="1" applyAlignment="1">
      <alignment horizontal="center" vertical="center"/>
    </xf>
    <xf numFmtId="0" fontId="39" fillId="0" borderId="0" xfId="0" applyFont="1"/>
    <xf numFmtId="0" fontId="37" fillId="0" borderId="0" xfId="2" applyFont="1"/>
    <xf numFmtId="0" fontId="38" fillId="0" borderId="0" xfId="0" applyFont="1" applyFill="1" applyAlignment="1">
      <alignment horizontal="center"/>
    </xf>
    <xf numFmtId="0" fontId="37" fillId="0" borderId="0" xfId="2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40" fillId="0" borderId="0" xfId="2" applyFont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0" applyFont="1"/>
    <xf numFmtId="0" fontId="40" fillId="0" borderId="0" xfId="2" applyFont="1"/>
    <xf numFmtId="0" fontId="0" fillId="13" borderId="0" xfId="0" applyFont="1" applyFill="1"/>
    <xf numFmtId="0" fontId="18" fillId="0" borderId="4" xfId="0" applyFont="1" applyBorder="1" applyAlignment="1">
      <alignment vertical="center"/>
    </xf>
    <xf numFmtId="8" fontId="18" fillId="0" borderId="6" xfId="0" applyNumberFormat="1" applyFont="1" applyBorder="1" applyAlignment="1">
      <alignment horizontal="right" vertical="center"/>
    </xf>
    <xf numFmtId="0" fontId="18" fillId="0" borderId="7" xfId="0" applyFont="1" applyBorder="1" applyAlignment="1">
      <alignment vertical="center"/>
    </xf>
    <xf numFmtId="8" fontId="18" fillId="0" borderId="8" xfId="0" applyNumberFormat="1" applyFont="1" applyBorder="1" applyAlignment="1">
      <alignment horizontal="right" vertical="center"/>
    </xf>
    <xf numFmtId="164" fontId="0" fillId="0" borderId="8" xfId="0" applyNumberFormat="1" applyBorder="1"/>
    <xf numFmtId="164" fontId="18" fillId="0" borderId="8" xfId="0" applyNumberFormat="1" applyFont="1" applyBorder="1" applyAlignment="1">
      <alignment horizontal="right" vertical="center"/>
    </xf>
    <xf numFmtId="8" fontId="0" fillId="8" borderId="11" xfId="0" applyNumberFormat="1" applyFill="1" applyBorder="1"/>
    <xf numFmtId="8" fontId="0" fillId="0" borderId="9" xfId="0" applyNumberFormat="1" applyFill="1" applyBorder="1"/>
    <xf numFmtId="8" fontId="0" fillId="0" borderId="6" xfId="0" applyNumberFormat="1" applyBorder="1"/>
    <xf numFmtId="8" fontId="0" fillId="0" borderId="8" xfId="0" applyNumberFormat="1" applyBorder="1"/>
    <xf numFmtId="8" fontId="0" fillId="5" borderId="11" xfId="0" applyNumberFormat="1" applyFill="1" applyBorder="1"/>
    <xf numFmtId="0" fontId="0" fillId="0" borderId="4" xfId="0" applyNumberFormat="1" applyBorder="1"/>
    <xf numFmtId="0" fontId="0" fillId="0" borderId="7" xfId="0" applyNumberFormat="1" applyBorder="1"/>
    <xf numFmtId="8" fontId="0" fillId="6" borderId="11" xfId="0" applyNumberFormat="1" applyFill="1" applyBorder="1"/>
    <xf numFmtId="0" fontId="15" fillId="0" borderId="6" xfId="0" applyFont="1" applyBorder="1" applyAlignment="1">
      <alignment horizontal="left"/>
    </xf>
    <xf numFmtId="0" fontId="10" fillId="0" borderId="0" xfId="0" applyFont="1" applyFill="1" applyBorder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61" xfId="0" applyBorder="1"/>
    <xf numFmtId="0" fontId="9" fillId="0" borderId="62" xfId="2" applyBorder="1"/>
    <xf numFmtId="0" fontId="0" fillId="0" borderId="63" xfId="0" applyBorder="1"/>
    <xf numFmtId="0" fontId="9" fillId="0" borderId="64" xfId="2" applyBorder="1"/>
    <xf numFmtId="0" fontId="0" fillId="0" borderId="65" xfId="0" applyBorder="1"/>
    <xf numFmtId="0" fontId="9" fillId="0" borderId="66" xfId="2" applyBorder="1"/>
    <xf numFmtId="0" fontId="9" fillId="0" borderId="0" xfId="2" applyAlignment="1" applyProtection="1"/>
    <xf numFmtId="0" fontId="0" fillId="0" borderId="64" xfId="0" applyBorder="1"/>
    <xf numFmtId="0" fontId="0" fillId="0" borderId="66" xfId="0" applyBorder="1"/>
    <xf numFmtId="14" fontId="0" fillId="0" borderId="53" xfId="0" applyNumberFormat="1" applyBorder="1" applyAlignment="1" applyProtection="1">
      <alignment horizontal="center"/>
      <protection locked="0"/>
    </xf>
    <xf numFmtId="0" fontId="0" fillId="0" borderId="53" xfId="0" applyBorder="1" applyAlignment="1" applyProtection="1">
      <alignment horizontal="center"/>
      <protection locked="0"/>
    </xf>
    <xf numFmtId="14" fontId="0" fillId="0" borderId="53" xfId="0" applyNumberFormat="1" applyBorder="1" applyAlignment="1">
      <alignment horizontal="center"/>
    </xf>
    <xf numFmtId="0" fontId="42" fillId="0" borderId="0" xfId="2" applyFont="1"/>
    <xf numFmtId="0" fontId="31" fillId="9" borderId="54" xfId="0" applyFont="1" applyFill="1" applyBorder="1" applyAlignment="1">
      <alignment horizontal="left"/>
    </xf>
    <xf numFmtId="0" fontId="31" fillId="9" borderId="55" xfId="0" applyFont="1" applyFill="1" applyBorder="1" applyAlignment="1">
      <alignment horizontal="left"/>
    </xf>
    <xf numFmtId="0" fontId="31" fillId="9" borderId="56" xfId="0" applyFont="1" applyFill="1" applyBorder="1" applyAlignment="1">
      <alignment horizontal="left"/>
    </xf>
    <xf numFmtId="0" fontId="34" fillId="0" borderId="72" xfId="0" applyFont="1" applyBorder="1" applyAlignment="1" applyProtection="1">
      <alignment horizontal="left" vertical="top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34" fillId="0" borderId="73" xfId="0" applyFont="1" applyBorder="1" applyAlignment="1" applyProtection="1">
      <alignment horizontal="left" vertical="top"/>
      <protection locked="0"/>
    </xf>
    <xf numFmtId="0" fontId="0" fillId="0" borderId="0" xfId="0"/>
    <xf numFmtId="0" fontId="0" fillId="0" borderId="0" xfId="0" applyBorder="1"/>
    <xf numFmtId="0" fontId="30" fillId="0" borderId="0" xfId="0" applyFont="1"/>
    <xf numFmtId="0" fontId="29" fillId="0" borderId="0" xfId="0" applyFont="1"/>
    <xf numFmtId="166" fontId="0" fillId="0" borderId="49" xfId="0" applyNumberFormat="1" applyBorder="1" applyProtection="1">
      <protection locked="0"/>
    </xf>
    <xf numFmtId="0" fontId="32" fillId="0" borderId="0" xfId="0" applyFont="1"/>
    <xf numFmtId="165" fontId="0" fillId="0" borderId="0" xfId="0" applyNumberFormat="1"/>
    <xf numFmtId="0" fontId="29" fillId="0" borderId="50" xfId="0" applyFont="1" applyBorder="1"/>
    <xf numFmtId="165" fontId="0" fillId="0" borderId="51" xfId="0" applyNumberFormat="1" applyBorder="1" applyProtection="1">
      <protection locked="0"/>
    </xf>
    <xf numFmtId="0" fontId="33" fillId="0" borderId="0" xfId="0" applyFont="1"/>
    <xf numFmtId="165" fontId="27" fillId="7" borderId="0" xfId="0" applyNumberFormat="1" applyFont="1" applyFill="1"/>
    <xf numFmtId="165" fontId="27" fillId="11" borderId="0" xfId="0" applyNumberFormat="1" applyFont="1" applyFill="1"/>
    <xf numFmtId="0" fontId="32" fillId="0" borderId="57" xfId="0" applyFont="1" applyBorder="1"/>
    <xf numFmtId="0" fontId="0" fillId="0" borderId="59" xfId="0" applyBorder="1"/>
    <xf numFmtId="0" fontId="30" fillId="0" borderId="0" xfId="0" applyFont="1" applyBorder="1"/>
    <xf numFmtId="0" fontId="29" fillId="0" borderId="0" xfId="0" applyFont="1" applyBorder="1"/>
    <xf numFmtId="165" fontId="0" fillId="0" borderId="0" xfId="0" applyNumberFormat="1" applyBorder="1"/>
    <xf numFmtId="0" fontId="9" fillId="0" borderId="64" xfId="2" applyBorder="1"/>
    <xf numFmtId="0" fontId="0" fillId="0" borderId="68" xfId="0" applyBorder="1"/>
    <xf numFmtId="0" fontId="0" fillId="0" borderId="67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0" xfId="0" applyAlignment="1">
      <alignment horizontal="center" vertical="top"/>
    </xf>
    <xf numFmtId="0" fontId="27" fillId="0" borderId="0" xfId="0" applyFont="1" applyAlignment="1" applyProtection="1">
      <alignment horizontal="center" vertical="top"/>
      <protection locked="0"/>
    </xf>
    <xf numFmtId="0" fontId="34" fillId="0" borderId="0" xfId="0" applyFont="1" applyBorder="1" applyAlignment="1" applyProtection="1">
      <alignment horizontal="left" vertical="top"/>
      <protection locked="0"/>
    </xf>
    <xf numFmtId="0" fontId="27" fillId="0" borderId="0" xfId="0" applyFont="1" applyBorder="1" applyAlignment="1" applyProtection="1">
      <alignment horizontal="left" vertical="top"/>
      <protection locked="0"/>
    </xf>
    <xf numFmtId="0" fontId="0" fillId="0" borderId="0" xfId="0" applyBorder="1" applyAlignment="1">
      <alignment horizontal="left"/>
    </xf>
    <xf numFmtId="0" fontId="0" fillId="0" borderId="57" xfId="0" applyBorder="1" applyAlignment="1" applyProtection="1">
      <alignment horizontal="left" vertical="top"/>
      <protection locked="0"/>
    </xf>
    <xf numFmtId="0" fontId="0" fillId="0" borderId="52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/>
      <protection locked="0"/>
    </xf>
    <xf numFmtId="0" fontId="31" fillId="10" borderId="54" xfId="0" applyFont="1" applyFill="1" applyBorder="1" applyAlignment="1">
      <alignment horizontal="left"/>
    </xf>
    <xf numFmtId="0" fontId="31" fillId="10" borderId="55" xfId="0" applyFont="1" applyFill="1" applyBorder="1" applyAlignment="1">
      <alignment horizontal="left"/>
    </xf>
    <xf numFmtId="0" fontId="31" fillId="10" borderId="56" xfId="0" applyFont="1" applyFill="1" applyBorder="1" applyAlignment="1">
      <alignment horizontal="left"/>
    </xf>
    <xf numFmtId="0" fontId="0" fillId="0" borderId="58" xfId="0" applyBorder="1" applyAlignment="1" applyProtection="1">
      <alignment horizontal="left" vertical="top"/>
      <protection locked="0"/>
    </xf>
    <xf numFmtId="0" fontId="0" fillId="0" borderId="59" xfId="0" applyBorder="1" applyAlignment="1" applyProtection="1">
      <alignment horizontal="left" vertical="top"/>
      <protection locked="0"/>
    </xf>
    <xf numFmtId="0" fontId="0" fillId="0" borderId="60" xfId="0" applyBorder="1" applyAlignment="1" applyProtection="1">
      <alignment horizontal="left" vertical="top"/>
      <protection locked="0"/>
    </xf>
    <xf numFmtId="0" fontId="34" fillId="0" borderId="57" xfId="0" applyFont="1" applyBorder="1" applyAlignment="1" applyProtection="1">
      <alignment horizontal="left" vertical="top"/>
      <protection locked="0"/>
    </xf>
    <xf numFmtId="0" fontId="34" fillId="0" borderId="52" xfId="0" applyFont="1" applyBorder="1" applyAlignment="1" applyProtection="1">
      <alignment horizontal="left" vertical="top"/>
      <protection locked="0"/>
    </xf>
    <xf numFmtId="0" fontId="27" fillId="0" borderId="57" xfId="0" applyFont="1" applyBorder="1" applyAlignment="1" applyProtection="1">
      <alignment horizontal="left" vertical="top"/>
      <protection locked="0"/>
    </xf>
    <xf numFmtId="0" fontId="27" fillId="0" borderId="52" xfId="0" applyFont="1" applyBorder="1" applyAlignment="1" applyProtection="1">
      <alignment horizontal="left" vertical="top"/>
      <protection locked="0"/>
    </xf>
    <xf numFmtId="0" fontId="0" fillId="0" borderId="73" xfId="0" applyBorder="1"/>
    <xf numFmtId="0" fontId="0" fillId="0" borderId="74" xfId="0" applyBorder="1"/>
    <xf numFmtId="0" fontId="27" fillId="0" borderId="67" xfId="0" applyFont="1" applyBorder="1" applyAlignment="1" applyProtection="1">
      <alignment horizontal="left" vertical="top"/>
      <protection locked="0"/>
    </xf>
    <xf numFmtId="0" fontId="27" fillId="0" borderId="68" xfId="0" applyFont="1" applyBorder="1" applyAlignment="1" applyProtection="1">
      <alignment horizontal="left" vertical="top"/>
      <protection locked="0"/>
    </xf>
    <xf numFmtId="0" fontId="0" fillId="0" borderId="69" xfId="0" applyBorder="1" applyAlignment="1" applyProtection="1">
      <alignment horizontal="left" vertical="top"/>
      <protection locked="0"/>
    </xf>
    <xf numFmtId="0" fontId="0" fillId="0" borderId="70" xfId="0" applyBorder="1" applyAlignment="1" applyProtection="1">
      <alignment horizontal="left" vertical="top"/>
      <protection locked="0"/>
    </xf>
    <xf numFmtId="0" fontId="0" fillId="0" borderId="71" xfId="0" applyBorder="1" applyAlignment="1" applyProtection="1">
      <alignment horizontal="left" vertical="top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28" fillId="9" borderId="77" xfId="0" applyFont="1" applyFill="1" applyBorder="1" applyAlignment="1">
      <alignment horizontal="center" vertical="center"/>
    </xf>
    <xf numFmtId="0" fontId="28" fillId="9" borderId="75" xfId="0" applyFont="1" applyFill="1" applyBorder="1" applyAlignment="1">
      <alignment horizontal="center" vertical="center"/>
    </xf>
    <xf numFmtId="4" fontId="0" fillId="0" borderId="79" xfId="4" applyNumberFormat="1" applyFont="1" applyBorder="1" applyProtection="1"/>
    <xf numFmtId="0" fontId="0" fillId="0" borderId="78" xfId="0" applyBorder="1" applyAlignment="1">
      <alignment horizontal="left"/>
    </xf>
    <xf numFmtId="0" fontId="0" fillId="0" borderId="78" xfId="0" applyBorder="1" applyAlignment="1" applyProtection="1">
      <alignment horizontal="left"/>
      <protection locked="0"/>
    </xf>
    <xf numFmtId="0" fontId="0" fillId="0" borderId="80" xfId="0" applyBorder="1" applyAlignment="1" applyProtection="1">
      <alignment horizontal="left"/>
      <protection locked="0"/>
    </xf>
    <xf numFmtId="0" fontId="0" fillId="0" borderId="81" xfId="0" applyBorder="1" applyAlignment="1" applyProtection="1">
      <alignment horizontal="left"/>
      <protection locked="0"/>
    </xf>
    <xf numFmtId="0" fontId="0" fillId="0" borderId="81" xfId="0" applyBorder="1" applyProtection="1">
      <protection locked="0"/>
    </xf>
    <xf numFmtId="0" fontId="0" fillId="0" borderId="81" xfId="0" applyBorder="1" applyAlignment="1" applyProtection="1">
      <alignment horizontal="center"/>
      <protection locked="0"/>
    </xf>
    <xf numFmtId="4" fontId="0" fillId="0" borderId="82" xfId="4" applyNumberFormat="1" applyFont="1" applyBorder="1" applyProtection="1"/>
    <xf numFmtId="0" fontId="0" fillId="0" borderId="0" xfId="0" applyBorder="1" applyAlignment="1" applyProtection="1">
      <alignment horizontal="right"/>
      <protection locked="0"/>
    </xf>
    <xf numFmtId="8" fontId="0" fillId="0" borderId="0" xfId="5" applyNumberFormat="1" applyFont="1" applyBorder="1" applyAlignment="1" applyProtection="1">
      <alignment horizontal="right"/>
    </xf>
    <xf numFmtId="8" fontId="0" fillId="0" borderId="0" xfId="0" applyNumberFormat="1" applyBorder="1" applyAlignment="1" applyProtection="1">
      <alignment horizontal="right"/>
    </xf>
    <xf numFmtId="0" fontId="28" fillId="10" borderId="77" xfId="0" applyFont="1" applyFill="1" applyBorder="1" applyAlignment="1">
      <alignment horizontal="center" vertical="center"/>
    </xf>
    <xf numFmtId="0" fontId="28" fillId="10" borderId="75" xfId="0" applyFont="1" applyFill="1" applyBorder="1" applyAlignment="1">
      <alignment horizontal="center" vertical="center"/>
    </xf>
    <xf numFmtId="0" fontId="2" fillId="0" borderId="0" xfId="0" applyFont="1"/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left" vertical="center" wrapText="1"/>
    </xf>
    <xf numFmtId="0" fontId="22" fillId="3" borderId="2" xfId="0" applyFont="1" applyFill="1" applyBorder="1" applyAlignment="1">
      <alignment horizontal="left" vertical="center" wrapText="1"/>
    </xf>
    <xf numFmtId="0" fontId="22" fillId="3" borderId="3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164" fontId="19" fillId="2" borderId="5" xfId="0" applyNumberFormat="1" applyFont="1" applyFill="1" applyBorder="1" applyAlignment="1">
      <alignment horizontal="left" vertical="center"/>
    </xf>
    <xf numFmtId="0" fontId="19" fillId="2" borderId="10" xfId="0" applyFon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4" fontId="0" fillId="0" borderId="0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15" fillId="0" borderId="5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164" fontId="0" fillId="0" borderId="5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3" xfId="0" applyFont="1" applyBorder="1" applyAlignment="1">
      <alignment horizontal="left"/>
    </xf>
    <xf numFmtId="15" fontId="15" fillId="0" borderId="1" xfId="0" applyNumberFormat="1" applyFont="1" applyBorder="1" applyAlignment="1">
      <alignment horizontal="left"/>
    </xf>
    <xf numFmtId="15" fontId="15" fillId="0" borderId="2" xfId="0" applyNumberFormat="1" applyFont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5" fillId="0" borderId="4" xfId="0" applyFont="1" applyBorder="1" applyAlignment="1">
      <alignment horizontal="left"/>
    </xf>
    <xf numFmtId="0" fontId="15" fillId="0" borderId="5" xfId="0" applyFont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0" fillId="0" borderId="69" xfId="0" applyBorder="1" applyAlignment="1" applyProtection="1">
      <alignment horizontal="left" vertical="top"/>
      <protection locked="0"/>
    </xf>
    <xf numFmtId="0" fontId="0" fillId="0" borderId="70" xfId="0" applyBorder="1" applyAlignment="1" applyProtection="1">
      <alignment horizontal="left" vertical="top"/>
      <protection locked="0"/>
    </xf>
    <xf numFmtId="0" fontId="0" fillId="0" borderId="71" xfId="0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78" xfId="0" applyBorder="1" applyAlignment="1">
      <alignment horizontal="left"/>
    </xf>
    <xf numFmtId="0" fontId="0" fillId="0" borderId="0" xfId="0" applyBorder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0" fontId="35" fillId="0" borderId="0" xfId="0" applyFont="1" applyAlignment="1">
      <alignment horizontal="right" indent="2"/>
    </xf>
    <xf numFmtId="0" fontId="0" fillId="0" borderId="0" xfId="0" applyAlignment="1" applyProtection="1">
      <alignment horizontal="left"/>
      <protection locked="0"/>
    </xf>
    <xf numFmtId="0" fontId="28" fillId="9" borderId="0" xfId="0" applyFont="1" applyFill="1" applyAlignment="1">
      <alignment horizontal="left"/>
    </xf>
    <xf numFmtId="0" fontId="28" fillId="9" borderId="76" xfId="0" applyFont="1" applyFill="1" applyBorder="1" applyAlignment="1">
      <alignment horizontal="center" vertical="center"/>
    </xf>
    <xf numFmtId="0" fontId="28" fillId="9" borderId="77" xfId="0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/>
    </xf>
    <xf numFmtId="0" fontId="28" fillId="10" borderId="76" xfId="0" applyFont="1" applyFill="1" applyBorder="1" applyAlignment="1">
      <alignment horizontal="center" vertical="center"/>
    </xf>
    <xf numFmtId="0" fontId="28" fillId="10" borderId="77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46" xfId="0" applyBorder="1" applyAlignment="1">
      <alignment horizontal="left"/>
    </xf>
    <xf numFmtId="0" fontId="1" fillId="0" borderId="4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" fillId="0" borderId="36" xfId="0" applyFont="1" applyBorder="1" applyAlignment="1">
      <alignment horizontal="left" vertical="center"/>
    </xf>
    <xf numFmtId="0" fontId="1" fillId="0" borderId="37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1" fillId="0" borderId="32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0" fontId="1" fillId="0" borderId="42" xfId="0" applyFont="1" applyBorder="1" applyAlignment="1">
      <alignment horizontal="left" vertical="center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1" fillId="0" borderId="32" xfId="0" applyFont="1" applyBorder="1" applyAlignment="1">
      <alignment horizontal="left" vertical="top"/>
    </xf>
    <xf numFmtId="0" fontId="1" fillId="0" borderId="26" xfId="0" applyFont="1" applyBorder="1" applyAlignment="1">
      <alignment horizontal="left" vertical="top"/>
    </xf>
    <xf numFmtId="0" fontId="1" fillId="0" borderId="42" xfId="0" applyFont="1" applyBorder="1" applyAlignment="1">
      <alignment horizontal="left" vertical="top"/>
    </xf>
    <xf numFmtId="0" fontId="1" fillId="0" borderId="40" xfId="0" applyFont="1" applyBorder="1" applyAlignment="1">
      <alignment horizontal="left" vertical="top"/>
    </xf>
    <xf numFmtId="0" fontId="25" fillId="0" borderId="41" xfId="0" applyFont="1" applyBorder="1" applyAlignment="1">
      <alignment horizontal="left" vertical="top"/>
    </xf>
    <xf numFmtId="0" fontId="25" fillId="0" borderId="36" xfId="0" applyFont="1" applyBorder="1" applyAlignment="1">
      <alignment horizontal="left" vertical="top"/>
    </xf>
    <xf numFmtId="0" fontId="1" fillId="0" borderId="0" xfId="0" applyFont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25" fillId="0" borderId="15" xfId="0" applyFont="1" applyBorder="1" applyAlignment="1">
      <alignment horizontal="left" vertical="top"/>
    </xf>
    <xf numFmtId="0" fontId="25" fillId="0" borderId="17" xfId="0" applyFont="1" applyBorder="1" applyAlignment="1">
      <alignment horizontal="left" vertical="top"/>
    </xf>
    <xf numFmtId="0" fontId="25" fillId="0" borderId="35" xfId="0" applyFont="1" applyBorder="1" applyAlignment="1">
      <alignment horizontal="left" vertical="top"/>
    </xf>
    <xf numFmtId="0" fontId="1" fillId="0" borderId="21" xfId="0" applyFont="1" applyBorder="1" applyAlignment="1">
      <alignment horizontal="left" vertical="top"/>
    </xf>
    <xf numFmtId="0" fontId="1" fillId="0" borderId="38" xfId="0" applyFont="1" applyBorder="1" applyAlignment="1">
      <alignment horizontal="left" vertical="top"/>
    </xf>
    <xf numFmtId="0" fontId="1" fillId="0" borderId="39" xfId="0" applyFont="1" applyBorder="1" applyAlignment="1">
      <alignment horizontal="left" vertical="top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3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2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20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14" fontId="1" fillId="0" borderId="15" xfId="0" applyNumberFormat="1" applyFont="1" applyBorder="1" applyAlignment="1">
      <alignment horizontal="center"/>
    </xf>
    <xf numFmtId="14" fontId="1" fillId="0" borderId="17" xfId="0" applyNumberFormat="1" applyFont="1" applyBorder="1" applyAlignment="1">
      <alignment horizontal="center"/>
    </xf>
    <xf numFmtId="14" fontId="1" fillId="0" borderId="16" xfId="0" applyNumberFormat="1" applyFont="1" applyBorder="1" applyAlignment="1">
      <alignment horizontal="center"/>
    </xf>
    <xf numFmtId="14" fontId="1" fillId="0" borderId="18" xfId="0" applyNumberFormat="1" applyFont="1" applyBorder="1" applyAlignment="1">
      <alignment horizontal="center" wrapText="1"/>
    </xf>
    <xf numFmtId="14" fontId="1" fillId="0" borderId="20" xfId="0" applyNumberFormat="1" applyFont="1" applyBorder="1" applyAlignment="1">
      <alignment horizontal="center" wrapText="1"/>
    </xf>
    <xf numFmtId="14" fontId="1" fillId="0" borderId="19" xfId="0" applyNumberFormat="1" applyFont="1" applyBorder="1" applyAlignment="1">
      <alignment horizontal="center" wrapText="1"/>
    </xf>
  </cellXfs>
  <cellStyles count="10">
    <cellStyle name="Comma" xfId="4" builtinId="3"/>
    <cellStyle name="Comma 2" xfId="8" xr:uid="{BB9DEC3A-8B8A-4C05-A39F-3C7B2AB5AD89}"/>
    <cellStyle name="Comma 3" xfId="6" xr:uid="{5DA18142-29E7-4ACD-BA7A-71FCFC677B6D}"/>
    <cellStyle name="Currency" xfId="5" builtinId="4"/>
    <cellStyle name="Currency 2" xfId="9" xr:uid="{81A8A313-34A2-494D-82BC-BA8DB355F25E}"/>
    <cellStyle name="Currency 3" xfId="7" xr:uid="{ABAE9A66-DEE1-47F1-B92F-0F98FE145373}"/>
    <cellStyle name="Hyperlink" xfId="2" builtinId="8"/>
    <cellStyle name="Normal" xfId="0" builtinId="0"/>
    <cellStyle name="Normal 11" xfId="1" xr:uid="{B35CFF0B-D28F-4341-9BB8-05A2219A0D5B}"/>
    <cellStyle name="Normal 2" xfId="3" xr:uid="{3B85CF86-3304-427C-8DEE-2A16669A61E8}"/>
  </cellStyles>
  <dxfs count="3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1</xdr:row>
          <xdr:rowOff>45720</xdr:rowOff>
        </xdr:from>
        <xdr:to>
          <xdr:col>10</xdr:col>
          <xdr:colOff>1478280</xdr:colOff>
          <xdr:row>3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ZA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627529</xdr:colOff>
      <xdr:row>1</xdr:row>
      <xdr:rowOff>19887</xdr:rowOff>
    </xdr:from>
    <xdr:to>
      <xdr:col>7</xdr:col>
      <xdr:colOff>362398</xdr:colOff>
      <xdr:row>3</xdr:row>
      <xdr:rowOff>251199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0323" y="221593"/>
          <a:ext cx="2263589" cy="844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1371600</xdr:colOff>
      <xdr:row>1</xdr:row>
      <xdr:rowOff>479834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6975" cy="9198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1371600</xdr:colOff>
      <xdr:row>1</xdr:row>
      <xdr:rowOff>491264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6975" cy="9198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ll.industry.siemens.com/mall/en/za/Catalog/Product/3RV2021-4FA10" TargetMode="External"/><Relationship Id="rId21" Type="http://schemas.openxmlformats.org/officeDocument/2006/relationships/hyperlink" Target="https://mall.industry.siemens.com/mall/en/za/Catalog/Product/3VL4731-1DC36-0AA0" TargetMode="External"/><Relationship Id="rId42" Type="http://schemas.openxmlformats.org/officeDocument/2006/relationships/hyperlink" Target="https://mall.industry.siemens.com/mall/en/za/Catalog/Product/6ES7214-1AG40-0XB0" TargetMode="External"/><Relationship Id="rId63" Type="http://schemas.openxmlformats.org/officeDocument/2006/relationships/hyperlink" Target="https://mall.industry.siemens.com/mall/en/za/Catalog/Product/6SL3210-5BE23-0UV0" TargetMode="External"/><Relationship Id="rId84" Type="http://schemas.openxmlformats.org/officeDocument/2006/relationships/hyperlink" Target="https://mall.industry.siemens.com/mall/en/za/Catalog/Product/6SL3256-0AP00-0JA0" TargetMode="External"/><Relationship Id="rId138" Type="http://schemas.openxmlformats.org/officeDocument/2006/relationships/hyperlink" Target="https://mall.industry.siemens.com/mall/en/za/Catalog/Product/5SY7206-7CC" TargetMode="External"/><Relationship Id="rId159" Type="http://schemas.openxmlformats.org/officeDocument/2006/relationships/hyperlink" Target="https://mall.industry.siemens.com/mall/en/za/Catalog/Product/3VL9800-3HF05" TargetMode="External"/><Relationship Id="rId170" Type="http://schemas.openxmlformats.org/officeDocument/2006/relationships/hyperlink" Target="https://mall.industry.siemens.com/mall/en/za/Catalog/Product/?mlfb=3VA2716-5DF02-0AA0-Z+F11" TargetMode="External"/><Relationship Id="rId191" Type="http://schemas.openxmlformats.org/officeDocument/2006/relationships/hyperlink" Target="https://mall.industry.siemens.com/mall/en/za/Catalog/Product/6SL3210-1PE13-2AL1" TargetMode="External"/><Relationship Id="rId205" Type="http://schemas.openxmlformats.org/officeDocument/2006/relationships/hyperlink" Target="https://mall.industry.siemens.com/mall/en/za/Catalog/Product/3VA9157-0FK21" TargetMode="External"/><Relationship Id="rId226" Type="http://schemas.openxmlformats.org/officeDocument/2006/relationships/hyperlink" Target="https://mall.industry.siemens.com/mall/en/za/Catalog/Product/7MF1567-3CA00-2AA1" TargetMode="External"/><Relationship Id="rId107" Type="http://schemas.openxmlformats.org/officeDocument/2006/relationships/hyperlink" Target="https://mall.industry.siemens.com/mall/en/za/Catalog/Product/7KM2200-2EA30-1EA1" TargetMode="External"/><Relationship Id="rId11" Type="http://schemas.openxmlformats.org/officeDocument/2006/relationships/hyperlink" Target="https://mall.industry.siemens.com/mall/en/za/Catalog/Product/7ME6520-3FC12-2AA1" TargetMode="External"/><Relationship Id="rId32" Type="http://schemas.openxmlformats.org/officeDocument/2006/relationships/hyperlink" Target="https://mall.industry.siemens.com/mall/en/za/Catalog/Product/3NA3805" TargetMode="External"/><Relationship Id="rId53" Type="http://schemas.openxmlformats.org/officeDocument/2006/relationships/hyperlink" Target="https://mall.industry.siemens.com/mall/en/za/Catalog/Product/6AV2123-2JB03-0AX0" TargetMode="External"/><Relationship Id="rId74" Type="http://schemas.openxmlformats.org/officeDocument/2006/relationships/hyperlink" Target="https://mall.industry.siemens.com/mall/en/za/Catalog/Product/6SL3210-1PE21-8AL0" TargetMode="External"/><Relationship Id="rId128" Type="http://schemas.openxmlformats.org/officeDocument/2006/relationships/hyperlink" Target="https://mall.industry.siemens.com/mall/en/za/Catalog/Product/3RV1915-1BB" TargetMode="External"/><Relationship Id="rId149" Type="http://schemas.openxmlformats.org/officeDocument/2006/relationships/hyperlink" Target="https://mall.industry.siemens.com/mall/en/za/Catalog/Product/3RW4026-1BB04" TargetMode="External"/><Relationship Id="rId5" Type="http://schemas.openxmlformats.org/officeDocument/2006/relationships/hyperlink" Target="https://mall.industry.siemens.com/mall/en/za/Catalog/Product/5SY7210-7CC" TargetMode="External"/><Relationship Id="rId95" Type="http://schemas.openxmlformats.org/officeDocument/2006/relationships/hyperlink" Target="https://mall.industry.siemens.com/mall/en/za/Catalog/Product/6GK5224-0BA00-2AC2" TargetMode="External"/><Relationship Id="rId160" Type="http://schemas.openxmlformats.org/officeDocument/2006/relationships/hyperlink" Target="https://mall.industry.siemens.com/mall/en/za/Catalog/Product/6SL3210-5BE24-0UV0" TargetMode="External"/><Relationship Id="rId181" Type="http://schemas.openxmlformats.org/officeDocument/2006/relationships/hyperlink" Target="https://mall.industry.siemens.com/mall/en/za/Catalog/Product/6ES7221-1BH32-0XB0" TargetMode="External"/><Relationship Id="rId216" Type="http://schemas.openxmlformats.org/officeDocument/2006/relationships/hyperlink" Target="https://mall.industry.siemens.com/mall/en/za/Catalog/Product/6ED1052-1HB08-0BA0" TargetMode="External"/><Relationship Id="rId22" Type="http://schemas.openxmlformats.org/officeDocument/2006/relationships/hyperlink" Target="https://mall.industry.siemens.com/mall/en/za/Catalog/Product/3VL3725-1DC36-0AA0" TargetMode="External"/><Relationship Id="rId43" Type="http://schemas.openxmlformats.org/officeDocument/2006/relationships/hyperlink" Target="https://mall.industry.siemens.com/mall/en/za/Catalog/Product/6ES7212-1AE40-0XB0" TargetMode="External"/><Relationship Id="rId64" Type="http://schemas.openxmlformats.org/officeDocument/2006/relationships/hyperlink" Target="https://mall.industry.siemens.com/mall/en/za/Catalog/Product/6SL3210-5BE22-2CV0" TargetMode="External"/><Relationship Id="rId118" Type="http://schemas.openxmlformats.org/officeDocument/2006/relationships/hyperlink" Target="https://mall.industry.siemens.com/mall/en/za/Catalog/Product/3RV2021-4BA10" TargetMode="External"/><Relationship Id="rId139" Type="http://schemas.openxmlformats.org/officeDocument/2006/relationships/hyperlink" Target="https://mall.industry.siemens.com/mall/en/za/Catalog/Product/5SY7110-7CC" TargetMode="External"/><Relationship Id="rId85" Type="http://schemas.openxmlformats.org/officeDocument/2006/relationships/hyperlink" Target="https://mall.industry.siemens.com/mall/en/za/Catalog/Product/6AV2107-0CA00-0BH0" TargetMode="External"/><Relationship Id="rId150" Type="http://schemas.openxmlformats.org/officeDocument/2006/relationships/hyperlink" Target="https://mall.industry.siemens.com/mall/en/za/Catalog/Product/3RW4027-1BB04" TargetMode="External"/><Relationship Id="rId171" Type="http://schemas.openxmlformats.org/officeDocument/2006/relationships/hyperlink" Target="https://mall.industry.siemens.com/mall/en/za/Catalog/Product/3RW4037-1TB04" TargetMode="External"/><Relationship Id="rId192" Type="http://schemas.openxmlformats.org/officeDocument/2006/relationships/hyperlink" Target="https://mall.industry.siemens.com/mall/en/za/Catalog/Product/6SL3210-1PE14-3AL1" TargetMode="External"/><Relationship Id="rId206" Type="http://schemas.openxmlformats.org/officeDocument/2006/relationships/hyperlink" Target="https://mall.industry.siemens.com/mall/en/za/Catalog/Product/7ML5050-0AB11-1DA0" TargetMode="External"/><Relationship Id="rId227" Type="http://schemas.openxmlformats.org/officeDocument/2006/relationships/hyperlink" Target="https://mall.industry.siemens.com/mall/en/za/Catalog/Product/3SU1200-6KB10-1AA0" TargetMode="External"/><Relationship Id="rId12" Type="http://schemas.openxmlformats.org/officeDocument/2006/relationships/hyperlink" Target="https://mall.industry.siemens.com/mall/en/za/Catalog/Product/7ME6520-3MC12-2AA1" TargetMode="External"/><Relationship Id="rId33" Type="http://schemas.openxmlformats.org/officeDocument/2006/relationships/hyperlink" Target="https://mall.industry.siemens.com/mall/en/za/Catalog/Product/3NA3812" TargetMode="External"/><Relationship Id="rId108" Type="http://schemas.openxmlformats.org/officeDocument/2006/relationships/hyperlink" Target="https://mall.industry.siemens.com/mall/en/za/Catalog/Product/3RV2011-1AA10" TargetMode="External"/><Relationship Id="rId129" Type="http://schemas.openxmlformats.org/officeDocument/2006/relationships/hyperlink" Target="https://mall.industry.siemens.com/mall/en/za/Catalog/Product/3RV2925-5AB" TargetMode="External"/><Relationship Id="rId54" Type="http://schemas.openxmlformats.org/officeDocument/2006/relationships/hyperlink" Target="https://mall.industry.siemens.com/mall/en/za/Catalog/Product/6AV2124-0MC01-0AX0" TargetMode="External"/><Relationship Id="rId75" Type="http://schemas.openxmlformats.org/officeDocument/2006/relationships/hyperlink" Target="https://mall.industry.siemens.com/mall/en/za/Catalog/Product/6SL3210-1PE21-4AL0" TargetMode="External"/><Relationship Id="rId96" Type="http://schemas.openxmlformats.org/officeDocument/2006/relationships/hyperlink" Target="https://mall.industry.siemens.com/mall/en/za/Catalog/Product/6EP1436-2BA10" TargetMode="External"/><Relationship Id="rId140" Type="http://schemas.openxmlformats.org/officeDocument/2006/relationships/hyperlink" Target="https://mall.industry.siemens.com/mall/en/za/Catalog/Product/5SY7210-7CC" TargetMode="External"/><Relationship Id="rId161" Type="http://schemas.openxmlformats.org/officeDocument/2006/relationships/hyperlink" Target="https://mall.industry.siemens.com/mall/en/za/Catalog/Product/3RW4024-1BB04" TargetMode="External"/><Relationship Id="rId182" Type="http://schemas.openxmlformats.org/officeDocument/2006/relationships/hyperlink" Target="https://mall.industry.siemens.com/mall/en/za/Catalog/Product/6ES7222-1BF32-0XB0" TargetMode="External"/><Relationship Id="rId217" Type="http://schemas.openxmlformats.org/officeDocument/2006/relationships/hyperlink" Target="https://mall.industry.siemens.com/mall/en/za/Catalog/Product/6ED1052-1FB08-0BA0" TargetMode="External"/><Relationship Id="rId6" Type="http://schemas.openxmlformats.org/officeDocument/2006/relationships/hyperlink" Target="https://mall.industry.siemens.com/mall/en/za/Catalog/Product/5SY7206-7CC" TargetMode="External"/><Relationship Id="rId23" Type="http://schemas.openxmlformats.org/officeDocument/2006/relationships/hyperlink" Target="https://mall.industry.siemens.com/mall/en/za/Catalog/Product/3VL3720-1DC36-0AA0" TargetMode="External"/><Relationship Id="rId119" Type="http://schemas.openxmlformats.org/officeDocument/2006/relationships/hyperlink" Target="https://mall.industry.siemens.com/mall/en/za/Catalog/Product/3RT2015-1BB41" TargetMode="External"/><Relationship Id="rId44" Type="http://schemas.openxmlformats.org/officeDocument/2006/relationships/hyperlink" Target="https://mall.industry.siemens.com/mall/en/za/Catalog/Product/6ES7231-4HD32-0XB0" TargetMode="External"/><Relationship Id="rId65" Type="http://schemas.openxmlformats.org/officeDocument/2006/relationships/hyperlink" Target="https://mall.industry.siemens.com/mall/en/za/Catalog/Product/6SL3210-5BE21-5UV0" TargetMode="External"/><Relationship Id="rId86" Type="http://schemas.openxmlformats.org/officeDocument/2006/relationships/hyperlink" Target="https://mall.industry.siemens.com/mall/en/za/Catalog/Product/6GK5874-3AA00-2AA2" TargetMode="External"/><Relationship Id="rId130" Type="http://schemas.openxmlformats.org/officeDocument/2006/relationships/hyperlink" Target="https://mall.industry.siemens.com/mall/en/za/Catalog/Product/3RA1921-1DA00" TargetMode="External"/><Relationship Id="rId151" Type="http://schemas.openxmlformats.org/officeDocument/2006/relationships/hyperlink" Target="https://mall.industry.siemens.com/mall/en/za/Catalog/Product/3RW4036-1BB04" TargetMode="External"/><Relationship Id="rId172" Type="http://schemas.openxmlformats.org/officeDocument/2006/relationships/hyperlink" Target="https://mall.industry.siemens.com/mall/en/za/Catalog/Product/6GK5004-1GM10-1AB2" TargetMode="External"/><Relationship Id="rId193" Type="http://schemas.openxmlformats.org/officeDocument/2006/relationships/hyperlink" Target="https://mall.industry.siemens.com/mall/en/za/Catalog/Product/6SL3210-1PE16-1AL1" TargetMode="External"/><Relationship Id="rId207" Type="http://schemas.openxmlformats.org/officeDocument/2006/relationships/hyperlink" Target="https://mall.industry.siemens.com/mall/en/za/Catalog/Product/7ML1100-1BA30" TargetMode="External"/><Relationship Id="rId228" Type="http://schemas.openxmlformats.org/officeDocument/2006/relationships/hyperlink" Target="https://mall.industry.siemens.com/mall/en/za/Catalog/Product/3SU1100-2BF60-1BA0" TargetMode="External"/><Relationship Id="rId13" Type="http://schemas.openxmlformats.org/officeDocument/2006/relationships/hyperlink" Target="https://mall.industry.siemens.com/mall/en/za/Catalog/Product/7ME6520-3TC12-2AA1" TargetMode="External"/><Relationship Id="rId109" Type="http://schemas.openxmlformats.org/officeDocument/2006/relationships/hyperlink" Target="https://mall.industry.siemens.com/mall/en/za/Catalog/Product/3RV2011-1CA10" TargetMode="External"/><Relationship Id="rId34" Type="http://schemas.openxmlformats.org/officeDocument/2006/relationships/hyperlink" Target="https://mall.industry.siemens.com/mall/en/za/Catalog/Product/3NA3820" TargetMode="External"/><Relationship Id="rId55" Type="http://schemas.openxmlformats.org/officeDocument/2006/relationships/hyperlink" Target="https://mall.industry.siemens.com/mall/en/za/Catalog/Product/6AV2124-0QC02-0AX1" TargetMode="External"/><Relationship Id="rId76" Type="http://schemas.openxmlformats.org/officeDocument/2006/relationships/hyperlink" Target="https://mall.industry.siemens.com/mall/en/za/Catalog/Product/6SL3210-1PE18-0AL1" TargetMode="External"/><Relationship Id="rId97" Type="http://schemas.openxmlformats.org/officeDocument/2006/relationships/hyperlink" Target="https://mall.industry.siemens.com/mall/en/za/Catalog/Product/6ES7592-1AM00-0XB0" TargetMode="External"/><Relationship Id="rId120" Type="http://schemas.openxmlformats.org/officeDocument/2006/relationships/hyperlink" Target="https://mall.industry.siemens.com/mall/en/za/Catalog/Product/3RT2016-1BB41" TargetMode="External"/><Relationship Id="rId141" Type="http://schemas.openxmlformats.org/officeDocument/2006/relationships/hyperlink" Target="https://mall.industry.siemens.com/mall/en/za/Catalog/Product/5SY7216-7CC" TargetMode="External"/><Relationship Id="rId7" Type="http://schemas.openxmlformats.org/officeDocument/2006/relationships/hyperlink" Target="https://mall.industry.siemens.com/mall/en/za/Catalog/Product/5SY7101-7CC" TargetMode="External"/><Relationship Id="rId162" Type="http://schemas.openxmlformats.org/officeDocument/2006/relationships/hyperlink" Target="https://mall.industry.siemens.com/mall/en/za/Catalog/Product/3RW4024-1BB05" TargetMode="External"/><Relationship Id="rId183" Type="http://schemas.openxmlformats.org/officeDocument/2006/relationships/hyperlink" Target="https://mall.industry.siemens.com/mall/en/za/Catalog/Product/6ES7222-1BH32-0XB0" TargetMode="External"/><Relationship Id="rId218" Type="http://schemas.openxmlformats.org/officeDocument/2006/relationships/hyperlink" Target="https://mall.industry.siemens.com/mall/en/za/Catalog/Product/6SL3203-0CE13-2AA0" TargetMode="External"/><Relationship Id="rId24" Type="http://schemas.openxmlformats.org/officeDocument/2006/relationships/hyperlink" Target="https://mall.industry.siemens.com/mall/en/za/Catalog/Product/3VL2716-1DC33-0AA0" TargetMode="External"/><Relationship Id="rId45" Type="http://schemas.openxmlformats.org/officeDocument/2006/relationships/hyperlink" Target="https://mall.industry.siemens.com/mall/en/za/Catalog/Product/6ES7231-4HF32-0XB0" TargetMode="External"/><Relationship Id="rId66" Type="http://schemas.openxmlformats.org/officeDocument/2006/relationships/hyperlink" Target="https://mall.industry.siemens.com/mall/en/za/Catalog/Product/6SL3210-5BE21-1UV0" TargetMode="External"/><Relationship Id="rId87" Type="http://schemas.openxmlformats.org/officeDocument/2006/relationships/hyperlink" Target="https://mall.industry.siemens.com/mall/en/za/Catalog/Product/6GK5908-0PB00" TargetMode="External"/><Relationship Id="rId110" Type="http://schemas.openxmlformats.org/officeDocument/2006/relationships/hyperlink" Target="https://mall.industry.siemens.com/mall/en/za/Catalog/Product/3RV2011-1GA10" TargetMode="External"/><Relationship Id="rId131" Type="http://schemas.openxmlformats.org/officeDocument/2006/relationships/hyperlink" Target="https://mall.industry.siemens.com/mall/en/za/Catalog/Product/?mlfb=LZS%3aRT4A4L24" TargetMode="External"/><Relationship Id="rId152" Type="http://schemas.openxmlformats.org/officeDocument/2006/relationships/hyperlink" Target="https://mall.industry.siemens.com/mall/en/za/Catalog/Product/3SU1102-6AA40-1AA0" TargetMode="External"/><Relationship Id="rId173" Type="http://schemas.openxmlformats.org/officeDocument/2006/relationships/hyperlink" Target="https://mall.industry.siemens.com/mall/en/za/Catalog/Product/6ES7241-1CH32-0XB0" TargetMode="External"/><Relationship Id="rId194" Type="http://schemas.openxmlformats.org/officeDocument/2006/relationships/hyperlink" Target="https://mall.industry.siemens.com/mall/en/za/Catalog/Product/6SL3210-5BE31-5CV0" TargetMode="External"/><Relationship Id="rId208" Type="http://schemas.openxmlformats.org/officeDocument/2006/relationships/hyperlink" Target="https://www.za.endress.com/FDU90?nebp.language=en&amp;nebp.cartToken=704b6636-ab51-4254-8444-8e239d6fe982" TargetMode="External"/><Relationship Id="rId229" Type="http://schemas.openxmlformats.org/officeDocument/2006/relationships/hyperlink" Target="https://mall.industry.siemens.com/mall/en/za/Catalog/Product/3SU1100-2BL60-1NA0" TargetMode="External"/><Relationship Id="rId14" Type="http://schemas.openxmlformats.org/officeDocument/2006/relationships/hyperlink" Target="https://mall.industry.siemens.com/mall/en/za/Catalog/Product/7ME6520-4BC12-2AA1" TargetMode="External"/><Relationship Id="rId35" Type="http://schemas.openxmlformats.org/officeDocument/2006/relationships/hyperlink" Target="https://mall.industry.siemens.com/mall/en/za/Catalog/Product/3NE1818-0" TargetMode="External"/><Relationship Id="rId56" Type="http://schemas.openxmlformats.org/officeDocument/2006/relationships/hyperlink" Target="https://mall.industry.siemens.com/mall/en/za/Catalog/Product/6EP1433-2BA20" TargetMode="External"/><Relationship Id="rId77" Type="http://schemas.openxmlformats.org/officeDocument/2006/relationships/hyperlink" Target="https://mall.industry.siemens.com/mall/en/za/Catalog/Product/6SL3000-0CE33-3AA0" TargetMode="External"/><Relationship Id="rId100" Type="http://schemas.openxmlformats.org/officeDocument/2006/relationships/hyperlink" Target="https://mall.industry.siemens.com/mall/en/za/Catalog/Product/6ES7822-1AE05-0YC5" TargetMode="External"/><Relationship Id="rId8" Type="http://schemas.openxmlformats.org/officeDocument/2006/relationships/hyperlink" Target="https://mall.industry.siemens.com/mall/en/za/Catalog/Product/5SY7416-7CC" TargetMode="External"/><Relationship Id="rId98" Type="http://schemas.openxmlformats.org/officeDocument/2006/relationships/hyperlink" Target="https://mall.industry.siemens.com/mall/en/za/Catalog/Product/6ES7590-1AE80-0AA0" TargetMode="External"/><Relationship Id="rId121" Type="http://schemas.openxmlformats.org/officeDocument/2006/relationships/hyperlink" Target="https://mall.industry.siemens.com/mall/en/za/Catalog/Product/3RT2017-1BB41" TargetMode="External"/><Relationship Id="rId142" Type="http://schemas.openxmlformats.org/officeDocument/2006/relationships/hyperlink" Target="https://mall.industry.siemens.com/mall/en/za/Catalog/Product/5SY7416-7CC" TargetMode="External"/><Relationship Id="rId163" Type="http://schemas.openxmlformats.org/officeDocument/2006/relationships/hyperlink" Target="https://mall.industry.siemens.com/mall/en/za/Catalog/Product/6SL3224-0XE42-0UA0" TargetMode="External"/><Relationship Id="rId184" Type="http://schemas.openxmlformats.org/officeDocument/2006/relationships/hyperlink" Target="https://mall.industry.siemens.com/mall/en/za/Catalog/Product/3LD2504-0TK53" TargetMode="External"/><Relationship Id="rId219" Type="http://schemas.openxmlformats.org/officeDocument/2006/relationships/hyperlink" Target="https://mall.industry.siemens.com/mall/en/za/Catalog/Product/6SE6400-3TC05-4DD0" TargetMode="External"/><Relationship Id="rId230" Type="http://schemas.openxmlformats.org/officeDocument/2006/relationships/printerSettings" Target="../printerSettings/printerSettings1.bin"/><Relationship Id="rId25" Type="http://schemas.openxmlformats.org/officeDocument/2006/relationships/hyperlink" Target="https://mall.industry.siemens.com/mall/en/za/Catalog/Product/3VL2712-1DC33-0AA0" TargetMode="External"/><Relationship Id="rId46" Type="http://schemas.openxmlformats.org/officeDocument/2006/relationships/hyperlink" Target="https://mall.industry.siemens.com/mall/en/za/Catalog/Product/6ES7234-4HE32-0XB0" TargetMode="External"/><Relationship Id="rId67" Type="http://schemas.openxmlformats.org/officeDocument/2006/relationships/hyperlink" Target="https://mall.industry.siemens.com/mall/en/za/Catalog/Product/6SL3210-5BE17-5UV0" TargetMode="External"/><Relationship Id="rId20" Type="http://schemas.openxmlformats.org/officeDocument/2006/relationships/hyperlink" Target="https://mall.industry.siemens.com/mall/en/za/Catalog/Product/3VL4740-1DC36-0AA0" TargetMode="External"/><Relationship Id="rId41" Type="http://schemas.openxmlformats.org/officeDocument/2006/relationships/hyperlink" Target="https://mall.industry.siemens.com/mall/en/za/Catalog/Product/6ES7215-1AG40-0XB0" TargetMode="External"/><Relationship Id="rId62" Type="http://schemas.openxmlformats.org/officeDocument/2006/relationships/hyperlink" Target="https://mall.industry.siemens.com/mall/en/za/Catalog/Product/6SL3210-5BE25-5UV0" TargetMode="External"/><Relationship Id="rId83" Type="http://schemas.openxmlformats.org/officeDocument/2006/relationships/hyperlink" Target="https://mall.industry.siemens.com/mall/en/za/Catalog/Product/6SL3255-0AA00-4JA2" TargetMode="External"/><Relationship Id="rId88" Type="http://schemas.openxmlformats.org/officeDocument/2006/relationships/hyperlink" Target="https://mall.industry.siemens.com/mall/en/za/Catalog/Product/6NH9860-1AA00" TargetMode="External"/><Relationship Id="rId111" Type="http://schemas.openxmlformats.org/officeDocument/2006/relationships/hyperlink" Target="https://mall.industry.siemens.com/mall/en/za/Catalog/Product/3RV2011-1BA10" TargetMode="External"/><Relationship Id="rId132" Type="http://schemas.openxmlformats.org/officeDocument/2006/relationships/hyperlink" Target="https://mall.industry.siemens.com/mall/en/za/Catalog/Product/?mlfb=LZS%3aRT4A4T30" TargetMode="External"/><Relationship Id="rId153" Type="http://schemas.openxmlformats.org/officeDocument/2006/relationships/hyperlink" Target="https://mall.industry.siemens.com/mall/en/za/Catalog/Product/3SU1102-6AA20-1AA0" TargetMode="External"/><Relationship Id="rId174" Type="http://schemas.openxmlformats.org/officeDocument/2006/relationships/hyperlink" Target="https://mall.industry.siemens.com/mall/en/za/Catalog/Product/6SL3210-1PE23-3AL0" TargetMode="External"/><Relationship Id="rId179" Type="http://schemas.openxmlformats.org/officeDocument/2006/relationships/hyperlink" Target="https://mall.industry.siemens.com/mall/en/za/Catalog/Product/5ST3010" TargetMode="External"/><Relationship Id="rId195" Type="http://schemas.openxmlformats.org/officeDocument/2006/relationships/hyperlink" Target="https://mall.industry.siemens.com/mall/en/za/Catalog/Product/3VA1020-2ED42-0AA0" TargetMode="External"/><Relationship Id="rId209" Type="http://schemas.openxmlformats.org/officeDocument/2006/relationships/hyperlink" Target="https://www.za.endress.com/FDU91?nebp.language=en&amp;nebp.cartToken=b0a7c31b-0ce5-4ff3-9004-339757eb036e" TargetMode="External"/><Relationship Id="rId190" Type="http://schemas.openxmlformats.org/officeDocument/2006/relationships/hyperlink" Target="https://mall.industry.siemens.com/mall/en/za/Catalog/Product/6SL3210-1PE12-3AL1" TargetMode="External"/><Relationship Id="rId204" Type="http://schemas.openxmlformats.org/officeDocument/2006/relationships/hyperlink" Target="https://mall.industry.siemens.com/mall/en/za/Catalog/Product/3VA9157-0FK21" TargetMode="External"/><Relationship Id="rId220" Type="http://schemas.openxmlformats.org/officeDocument/2006/relationships/hyperlink" Target="https://mall.industry.siemens.com/mall/en/za/Catalog/Product/6SL3202-0AE23-8CA0" TargetMode="External"/><Relationship Id="rId225" Type="http://schemas.openxmlformats.org/officeDocument/2006/relationships/hyperlink" Target="https://mall.industry.siemens.com/mall/en/za/Catalog/Product/6SL3210-1PE21-1AL0" TargetMode="External"/><Relationship Id="rId15" Type="http://schemas.openxmlformats.org/officeDocument/2006/relationships/hyperlink" Target="https://mall.industry.siemens.com/mall/en/za/Catalog/Product/7ME6520-4HC12-2AA1" TargetMode="External"/><Relationship Id="rId36" Type="http://schemas.openxmlformats.org/officeDocument/2006/relationships/hyperlink" Target="https://mall.industry.siemens.com/mall/en/za/Catalog/Product/8UC7212-1BB20" TargetMode="External"/><Relationship Id="rId57" Type="http://schemas.openxmlformats.org/officeDocument/2006/relationships/hyperlink" Target="https://mall.industry.siemens.com/mall/en/za/Catalog/Product/6EP1436-2BA10" TargetMode="External"/><Relationship Id="rId106" Type="http://schemas.openxmlformats.org/officeDocument/2006/relationships/hyperlink" Target="https://mall.industry.siemens.com/mall/en/za/Catalog/Product/7KM5212-6BA00-1EA2" TargetMode="External"/><Relationship Id="rId127" Type="http://schemas.openxmlformats.org/officeDocument/2006/relationships/hyperlink" Target="https://mall.industry.siemens.com/mall/en/za/Catalog/Product/3SU1100-0AB10-1BA0" TargetMode="External"/><Relationship Id="rId10" Type="http://schemas.openxmlformats.org/officeDocument/2006/relationships/hyperlink" Target="https://mall.industry.siemens.com/mall/en/za/Catalog/Product/7ME6520-2YC12-2AA1" TargetMode="External"/><Relationship Id="rId31" Type="http://schemas.openxmlformats.org/officeDocument/2006/relationships/hyperlink" Target="https://mall.industry.siemens.com/mall/en/za/Catalog/Product/3RT2026-1BB40" TargetMode="External"/><Relationship Id="rId52" Type="http://schemas.openxmlformats.org/officeDocument/2006/relationships/hyperlink" Target="https://mall.industry.siemens.com/mall/en/za/Catalog/Product/6AV2123-2GB03-0AX0" TargetMode="External"/><Relationship Id="rId73" Type="http://schemas.openxmlformats.org/officeDocument/2006/relationships/hyperlink" Target="https://mall.industry.siemens.com/mall/en/za/Catalog/Product/6SL3210-1PE22-7AL0" TargetMode="External"/><Relationship Id="rId78" Type="http://schemas.openxmlformats.org/officeDocument/2006/relationships/hyperlink" Target="https://mall.industry.siemens.com/mall/en/za/Catalog/Product/6SL3203-0BE32-5AA0" TargetMode="External"/><Relationship Id="rId94" Type="http://schemas.openxmlformats.org/officeDocument/2006/relationships/hyperlink" Target="https://mall.industry.siemens.com/mall/en/za/Catalog/Product/6ES7532-5HF00-0AB0" TargetMode="External"/><Relationship Id="rId99" Type="http://schemas.openxmlformats.org/officeDocument/2006/relationships/hyperlink" Target="https://mall.industry.siemens.com/mall/en/za/Catalog/Product/6ES7954-8LF03-0AA0" TargetMode="External"/><Relationship Id="rId101" Type="http://schemas.openxmlformats.org/officeDocument/2006/relationships/hyperlink" Target="https://mall.industry.siemens.com/mall/en/za/Catalog/Product/6AV2102-2AA05-0BJ5" TargetMode="External"/><Relationship Id="rId122" Type="http://schemas.openxmlformats.org/officeDocument/2006/relationships/hyperlink" Target="https://mall.industry.siemens.com/mall/en/za/Catalog/Product/3RT2015-1AP01" TargetMode="External"/><Relationship Id="rId143" Type="http://schemas.openxmlformats.org/officeDocument/2006/relationships/hyperlink" Target="https://mall.industry.siemens.com/mall/en/za/Catalog/Product/5SY7425-7CC" TargetMode="External"/><Relationship Id="rId148" Type="http://schemas.openxmlformats.org/officeDocument/2006/relationships/hyperlink" Target="https://mall.industry.siemens.com/mall/en/za/Catalog/Product/3RW4028-1BB04" TargetMode="External"/><Relationship Id="rId164" Type="http://schemas.openxmlformats.org/officeDocument/2006/relationships/hyperlink" Target="https://mall.industry.siemens.com/mall/en/za/Catalog/Product/6SL3210-1PE31-5AL0" TargetMode="External"/><Relationship Id="rId169" Type="http://schemas.openxmlformats.org/officeDocument/2006/relationships/hyperlink" Target="https://mall.industry.siemens.com/mall/en/za/Catalog/Product/6GK5116-0BA00-2AB2" TargetMode="External"/><Relationship Id="rId185" Type="http://schemas.openxmlformats.org/officeDocument/2006/relationships/hyperlink" Target="https://mall.industry.siemens.com/mall/en/za/Catalog/Product/3LD2003-0TK53" TargetMode="External"/><Relationship Id="rId4" Type="http://schemas.openxmlformats.org/officeDocument/2006/relationships/hyperlink" Target="https://mall.industry.siemens.com/mall/en/za/Catalog/Product/5SY7106-7CC" TargetMode="External"/><Relationship Id="rId9" Type="http://schemas.openxmlformats.org/officeDocument/2006/relationships/hyperlink" Target="https://mall.industry.siemens.com/mall/en/za/Catalog/Product/7ME6910-2CA30-1AA0" TargetMode="External"/><Relationship Id="rId180" Type="http://schemas.openxmlformats.org/officeDocument/2006/relationships/hyperlink" Target="https://mall.industry.siemens.com/mall/en/za/Catalog/Product/6ES7221-1BF32-0XB0" TargetMode="External"/><Relationship Id="rId210" Type="http://schemas.openxmlformats.org/officeDocument/2006/relationships/hyperlink" Target="https://www.za.endress.com/FMU90?nebp.language=en&amp;nebp.cartToken=72330fa7-af26-45c7-860b-e3838d57ce7b" TargetMode="External"/><Relationship Id="rId215" Type="http://schemas.openxmlformats.org/officeDocument/2006/relationships/hyperlink" Target="https://mall.industry.siemens.com/mall/en/za/Catalog/Product/6EP3333-6SB00-0AY0" TargetMode="External"/><Relationship Id="rId26" Type="http://schemas.openxmlformats.org/officeDocument/2006/relationships/hyperlink" Target="https://mall.industry.siemens.com/mall/en/za/Catalog/Product/3VL2710-1DC33-0AA0" TargetMode="External"/><Relationship Id="rId231" Type="http://schemas.openxmlformats.org/officeDocument/2006/relationships/drawing" Target="../drawings/drawing1.xml"/><Relationship Id="rId47" Type="http://schemas.openxmlformats.org/officeDocument/2006/relationships/hyperlink" Target="https://mall.industry.siemens.com/mall/en/za/Catalog/Product/6ES7232-4HD32-0XB0" TargetMode="External"/><Relationship Id="rId68" Type="http://schemas.openxmlformats.org/officeDocument/2006/relationships/hyperlink" Target="https://mall.industry.siemens.com/mall/en/za/Catalog/Product/6SL3255-0VA00-4BA1" TargetMode="External"/><Relationship Id="rId89" Type="http://schemas.openxmlformats.org/officeDocument/2006/relationships/hyperlink" Target="https://mall.industry.siemens.com/mall/en/za/Catalog/Product/6GK1720-1AH01-0BV0" TargetMode="External"/><Relationship Id="rId112" Type="http://schemas.openxmlformats.org/officeDocument/2006/relationships/hyperlink" Target="https://mall.industry.siemens.com/mall/en/za/Catalog/Product/3RV2011-1DA10" TargetMode="External"/><Relationship Id="rId133" Type="http://schemas.openxmlformats.org/officeDocument/2006/relationships/hyperlink" Target="https://mall.industry.siemens.com/mall/en/za/Catalog/Product/?mlfb=LZS%3aPT5A5L24" TargetMode="External"/><Relationship Id="rId154" Type="http://schemas.openxmlformats.org/officeDocument/2006/relationships/hyperlink" Target="https://mall.industry.siemens.com/mall/en/za/Catalog/Product/3VL2706-1DK33-0AA0" TargetMode="External"/><Relationship Id="rId175" Type="http://schemas.openxmlformats.org/officeDocument/2006/relationships/hyperlink" Target="https://mall.industry.siemens.com/mall/en/za/Catalog/Product/5SY7104-7CC" TargetMode="External"/><Relationship Id="rId196" Type="http://schemas.openxmlformats.org/officeDocument/2006/relationships/hyperlink" Target="https://mall.industry.siemens.com/mall/en/za/Catalog/Product/3VA1010-2ED42-0AA0" TargetMode="External"/><Relationship Id="rId200" Type="http://schemas.openxmlformats.org/officeDocument/2006/relationships/hyperlink" Target="https://mall.industry.siemens.com/mall/en/za/Catalog/Product/3VA1080-2ED32-0AA0" TargetMode="External"/><Relationship Id="rId16" Type="http://schemas.openxmlformats.org/officeDocument/2006/relationships/hyperlink" Target="https://mall.industry.siemens.com/mall/en/za/Catalog/Product/7ME6520-4PC12-2AA1" TargetMode="External"/><Relationship Id="rId221" Type="http://schemas.openxmlformats.org/officeDocument/2006/relationships/hyperlink" Target="https://mall.industry.siemens.com/mall/en/za/Catalog/Product/6SL3202-0AE18-8CA0" TargetMode="External"/><Relationship Id="rId37" Type="http://schemas.openxmlformats.org/officeDocument/2006/relationships/hyperlink" Target="https://mall.industry.siemens.com/mall/en/za/Catalog/Product/6ED1055-1HB00-0BA2" TargetMode="External"/><Relationship Id="rId58" Type="http://schemas.openxmlformats.org/officeDocument/2006/relationships/hyperlink" Target="https://mall.industry.siemens.com/mall/en/za/Catalog/Product/6EP1437-2BA20" TargetMode="External"/><Relationship Id="rId79" Type="http://schemas.openxmlformats.org/officeDocument/2006/relationships/hyperlink" Target="https://mall.industry.siemens.com/mall/en/za/Catalog/Product/6SL3000-2BE32-6AA0" TargetMode="External"/><Relationship Id="rId102" Type="http://schemas.openxmlformats.org/officeDocument/2006/relationships/hyperlink" Target="https://mall.industry.siemens.com/mall/en/za/Catalog/Product/6AV2104-0FA05-0AH0" TargetMode="External"/><Relationship Id="rId123" Type="http://schemas.openxmlformats.org/officeDocument/2006/relationships/hyperlink" Target="https://mall.industry.siemens.com/mall/en/za/Catalog/Product/3RV2011-1FA10" TargetMode="External"/><Relationship Id="rId144" Type="http://schemas.openxmlformats.org/officeDocument/2006/relationships/hyperlink" Target="https://mall.industry.siemens.com/mall/en/za/Catalog/Product/5SY7432-7CC" TargetMode="External"/><Relationship Id="rId90" Type="http://schemas.openxmlformats.org/officeDocument/2006/relationships/hyperlink" Target="https://mall.industry.siemens.com/mall/en/za/Catalog/Product/6AV2181-8XP00-0AX0" TargetMode="External"/><Relationship Id="rId165" Type="http://schemas.openxmlformats.org/officeDocument/2006/relationships/hyperlink" Target="https://mall.industry.siemens.com/mall/en/za/Catalog/Product/6SE6400-3TC14-5FD0" TargetMode="External"/><Relationship Id="rId186" Type="http://schemas.openxmlformats.org/officeDocument/2006/relationships/hyperlink" Target="https://mall.industry.siemens.com/mall/en/za/Catalog/Product/3LD2103-0TK53" TargetMode="External"/><Relationship Id="rId211" Type="http://schemas.openxmlformats.org/officeDocument/2006/relationships/hyperlink" Target="https://www.za.endress.com/FMU30?nebp.language=en&amp;nebp.cartToken=72330fa7-af26-45c7-860b-e3838d57ce7b" TargetMode="External"/><Relationship Id="rId232" Type="http://schemas.openxmlformats.org/officeDocument/2006/relationships/vmlDrawing" Target="../drawings/vmlDrawing1.vml"/><Relationship Id="rId27" Type="http://schemas.openxmlformats.org/officeDocument/2006/relationships/hyperlink" Target="https://mall.industry.siemens.com/mall/en/za/Catalog/Product/3RT2027-1BB40" TargetMode="External"/><Relationship Id="rId48" Type="http://schemas.openxmlformats.org/officeDocument/2006/relationships/hyperlink" Target="https://mall.industry.siemens.com/mall/en/za/Catalog/Product/6ES7223-1BH32-0XB0" TargetMode="External"/><Relationship Id="rId69" Type="http://schemas.openxmlformats.org/officeDocument/2006/relationships/hyperlink" Target="https://mall.industry.siemens.com/mall/en/za/Catalog/Product/6SL3255-0VA00-2AA1" TargetMode="External"/><Relationship Id="rId113" Type="http://schemas.openxmlformats.org/officeDocument/2006/relationships/hyperlink" Target="https://mall.industry.siemens.com/mall/en/za/Catalog/Product/3RV2011-1HA10" TargetMode="External"/><Relationship Id="rId134" Type="http://schemas.openxmlformats.org/officeDocument/2006/relationships/hyperlink" Target="https://mall.industry.siemens.com/mall/en/za/Catalog/Product/?mlfb=LZS%3aPT5A5T30" TargetMode="External"/><Relationship Id="rId80" Type="http://schemas.openxmlformats.org/officeDocument/2006/relationships/hyperlink" Target="https://mall.industry.siemens.com/mall/en/za/Catalog/Product/6SL3244-0BB12-1FA0" TargetMode="External"/><Relationship Id="rId155" Type="http://schemas.openxmlformats.org/officeDocument/2006/relationships/hyperlink" Target="https://mall.industry.siemens.com/mall/en/za/Catalog/Product/3VL2716-1DK33-0AA0" TargetMode="External"/><Relationship Id="rId176" Type="http://schemas.openxmlformats.org/officeDocument/2006/relationships/hyperlink" Target="https://mall.industry.siemens.com/mall/en/za/Catalog/Product/5SY7204-7CC" TargetMode="External"/><Relationship Id="rId197" Type="http://schemas.openxmlformats.org/officeDocument/2006/relationships/hyperlink" Target="https://www.za.endress.com/5W4C?nebp.language=en&amp;nebp.cartToken=c7f6da2f-606a-41ec-86a6-d13946111484" TargetMode="External"/><Relationship Id="rId201" Type="http://schemas.openxmlformats.org/officeDocument/2006/relationships/hyperlink" Target="https://mall.industry.siemens.com/mall/en/za/Catalog/Product/3VA1010-2ED32-0AA0" TargetMode="External"/><Relationship Id="rId222" Type="http://schemas.openxmlformats.org/officeDocument/2006/relationships/hyperlink" Target="https://mall.industry.siemens.com/mall/en/za/Catalog/Product/6SL3202-0AE21-8CA0" TargetMode="External"/><Relationship Id="rId17" Type="http://schemas.openxmlformats.org/officeDocument/2006/relationships/hyperlink" Target="https://mall.industry.siemens.com/mall/en/za/Catalog/Product/7ME6520-4VC12-2AA1" TargetMode="External"/><Relationship Id="rId38" Type="http://schemas.openxmlformats.org/officeDocument/2006/relationships/hyperlink" Target="https://mall.industry.siemens.com/mall/en/za/Catalog/Product/6ED1055-1NB10-0BA2" TargetMode="External"/><Relationship Id="rId59" Type="http://schemas.openxmlformats.org/officeDocument/2006/relationships/hyperlink" Target="https://mall.industry.siemens.com/mall/en/za/Catalog/Product/6SL3210-5BE31-8UV0" TargetMode="External"/><Relationship Id="rId103" Type="http://schemas.openxmlformats.org/officeDocument/2006/relationships/hyperlink" Target="https://mall.industry.siemens.com/mall/en/za/Catalog/Product/3UG4615-1CR20" TargetMode="External"/><Relationship Id="rId124" Type="http://schemas.openxmlformats.org/officeDocument/2006/relationships/hyperlink" Target="https://mall.industry.siemens.com/mall/en/za/Catalog/Product/3VL1103-1KM30-0AA0" TargetMode="External"/><Relationship Id="rId70" Type="http://schemas.openxmlformats.org/officeDocument/2006/relationships/hyperlink" Target="https://mall.industry.siemens.com/mall/en/za/Catalog/Product/6SL3210-1PE32-5AL0" TargetMode="External"/><Relationship Id="rId91" Type="http://schemas.openxmlformats.org/officeDocument/2006/relationships/hyperlink" Target="https://mall.industry.siemens.com/mall/en/za/Catalog/Product/6ES7513-1AL01-0AB0" TargetMode="External"/><Relationship Id="rId145" Type="http://schemas.openxmlformats.org/officeDocument/2006/relationships/hyperlink" Target="https://mall.industry.siemens.com/mall/en/za/Catalog/Product/5SY7463-7CC" TargetMode="External"/><Relationship Id="rId166" Type="http://schemas.openxmlformats.org/officeDocument/2006/relationships/hyperlink" Target="https://mall.industry.siemens.com/mall/en/za/Catalog/Product/6SL3000-2BE35-0AA0" TargetMode="External"/><Relationship Id="rId187" Type="http://schemas.openxmlformats.org/officeDocument/2006/relationships/hyperlink" Target="https://mall.industry.siemens.com/mall/en/za/Catalog/Product/3LD2203-0TK53" TargetMode="External"/><Relationship Id="rId1" Type="http://schemas.openxmlformats.org/officeDocument/2006/relationships/hyperlink" Target="https://mall.industry.siemens.com/mall/en/za/Catalog/Product/5SY7216-7CC" TargetMode="External"/><Relationship Id="rId212" Type="http://schemas.openxmlformats.org/officeDocument/2006/relationships/hyperlink" Target="https://mall.industry.siemens.com/mall/en/za/Catalog/Product/6EP1961-2BA31" TargetMode="External"/><Relationship Id="rId233" Type="http://schemas.openxmlformats.org/officeDocument/2006/relationships/ctrlProp" Target="../ctrlProps/ctrlProp1.xml"/><Relationship Id="rId28" Type="http://schemas.openxmlformats.org/officeDocument/2006/relationships/hyperlink" Target="https://mall.industry.siemens.com/mall/en/za/Catalog/Product/3RT2036-1KB40" TargetMode="External"/><Relationship Id="rId49" Type="http://schemas.openxmlformats.org/officeDocument/2006/relationships/hyperlink" Target="https://mall.industry.siemens.com/mall/en/za/Catalog/Product/6ES7223-1BL32-0XB0" TargetMode="External"/><Relationship Id="rId114" Type="http://schemas.openxmlformats.org/officeDocument/2006/relationships/hyperlink" Target="https://mall.industry.siemens.com/mall/en/za/Catalog/Product/3RV2011-1JA10" TargetMode="External"/><Relationship Id="rId60" Type="http://schemas.openxmlformats.org/officeDocument/2006/relationships/hyperlink" Target="https://mall.industry.siemens.com/mall/en/za/Catalog/Product/6SL3210-5BE31-1UV0" TargetMode="External"/><Relationship Id="rId81" Type="http://schemas.openxmlformats.org/officeDocument/2006/relationships/hyperlink" Target="https://mall.industry.siemens.com/mall/en/za/Catalog/Product/6SL3243-0BB30-1FA0" TargetMode="External"/><Relationship Id="rId135" Type="http://schemas.openxmlformats.org/officeDocument/2006/relationships/hyperlink" Target="https://mall.industry.siemens.com/mall/en/za/Catalog/Product/5SY7101-7CC" TargetMode="External"/><Relationship Id="rId156" Type="http://schemas.openxmlformats.org/officeDocument/2006/relationships/hyperlink" Target="https://mall.industry.siemens.com/mall/en/za/Catalog/Product/3VL9300-3HF05" TargetMode="External"/><Relationship Id="rId177" Type="http://schemas.openxmlformats.org/officeDocument/2006/relationships/hyperlink" Target="https://mall.industry.siemens.com/mall/en/za/Catalog/Product/3VA1110-5MH36-0AA0" TargetMode="External"/><Relationship Id="rId198" Type="http://schemas.openxmlformats.org/officeDocument/2006/relationships/hyperlink" Target="https://www.za.endress.com/5W4C?nebp.language=en&amp;nebp.cartToken=c7f6da2f-606a-41ec-86a6-d13946111484" TargetMode="External"/><Relationship Id="rId202" Type="http://schemas.openxmlformats.org/officeDocument/2006/relationships/hyperlink" Target="https://mall.industry.siemens.com/mall/en/za/Catalog/Product/3VA9111-0WF40" TargetMode="External"/><Relationship Id="rId223" Type="http://schemas.openxmlformats.org/officeDocument/2006/relationships/hyperlink" Target="https://mall.industry.siemens.com/mall/en/za/Catalog/Product/6SL3211-1PE27-5AL0" TargetMode="External"/><Relationship Id="rId18" Type="http://schemas.openxmlformats.org/officeDocument/2006/relationships/hyperlink" Target="https://mall.industry.siemens.com/mall/en/za/Catalog/Product/3VL5763-1DC36-0AA0" TargetMode="External"/><Relationship Id="rId39" Type="http://schemas.openxmlformats.org/officeDocument/2006/relationships/hyperlink" Target="https://mall.industry.siemens.com/mall/en/za/Catalog/Product/6ED1055-1FB00-0BA2" TargetMode="External"/><Relationship Id="rId50" Type="http://schemas.openxmlformats.org/officeDocument/2006/relationships/hyperlink" Target="https://mall.industry.siemens.com/mall/en/za/Catalog/Product/6AV2123-2DB03-0AX0" TargetMode="External"/><Relationship Id="rId104" Type="http://schemas.openxmlformats.org/officeDocument/2006/relationships/hyperlink" Target="https://mall.industry.siemens.com/mall/en/za/Catalog/Product/3UG4641-1CS20" TargetMode="External"/><Relationship Id="rId125" Type="http://schemas.openxmlformats.org/officeDocument/2006/relationships/hyperlink" Target="https://mall.industry.siemens.com/mall/en/za/Catalog/Product/3RV2901-1E" TargetMode="External"/><Relationship Id="rId146" Type="http://schemas.openxmlformats.org/officeDocument/2006/relationships/hyperlink" Target="https://mall.industry.siemens.com/mall/en/za/Catalog/Product/3SU1100-2BF60-1BA0" TargetMode="External"/><Relationship Id="rId167" Type="http://schemas.openxmlformats.org/officeDocument/2006/relationships/hyperlink" Target="https://mall.industry.siemens.com/mall/en/za/Catalog/Product/6SL3000-0BE36-0AA0" TargetMode="External"/><Relationship Id="rId188" Type="http://schemas.openxmlformats.org/officeDocument/2006/relationships/hyperlink" Target="https://mall.industry.siemens.com/mall/en/za/Catalog/Product/3LD2704-0TK53" TargetMode="External"/><Relationship Id="rId71" Type="http://schemas.openxmlformats.org/officeDocument/2006/relationships/hyperlink" Target="https://mall.industry.siemens.com/mall/en/za/Catalog/Product/6SL3210-1PE24-5AL0" TargetMode="External"/><Relationship Id="rId92" Type="http://schemas.openxmlformats.org/officeDocument/2006/relationships/hyperlink" Target="https://mall.industry.siemens.com/mall/en/za/Catalog/Product/6ES7523-1BL00-0AA0" TargetMode="External"/><Relationship Id="rId213" Type="http://schemas.openxmlformats.org/officeDocument/2006/relationships/hyperlink" Target="https://mall.industry.siemens.com/mall/en/za/Catalog/Product/6EP3331-6SB00-0AY0" TargetMode="External"/><Relationship Id="rId2" Type="http://schemas.openxmlformats.org/officeDocument/2006/relationships/hyperlink" Target="https://mall.industry.siemens.com/mall/en/za/Catalog/Product/3NE1820-0" TargetMode="External"/><Relationship Id="rId29" Type="http://schemas.openxmlformats.org/officeDocument/2006/relationships/hyperlink" Target="https://mall.industry.siemens.com/mall/en/za/Catalog/Product/3RT2037-1KB40" TargetMode="External"/><Relationship Id="rId40" Type="http://schemas.openxmlformats.org/officeDocument/2006/relationships/hyperlink" Target="https://mall.industry.siemens.com/mall/en/za/Catalog/Product/6ED1055-1FB10-0BA2" TargetMode="External"/><Relationship Id="rId115" Type="http://schemas.openxmlformats.org/officeDocument/2006/relationships/hyperlink" Target="https://mall.industry.siemens.com/mall/en/za/Catalog/Product/3RV2011-1KA10" TargetMode="External"/><Relationship Id="rId136" Type="http://schemas.openxmlformats.org/officeDocument/2006/relationships/hyperlink" Target="https://mall.industry.siemens.com/mall/en/za/Catalog/Product/5SY7102-7CC" TargetMode="External"/><Relationship Id="rId157" Type="http://schemas.openxmlformats.org/officeDocument/2006/relationships/hyperlink" Target="https://mall.industry.siemens.com/mall/en/za/Catalog/Product/3VL9400-3HF05" TargetMode="External"/><Relationship Id="rId178" Type="http://schemas.openxmlformats.org/officeDocument/2006/relationships/hyperlink" Target="https://mall.industry.siemens.com/mall/en/za/Catalog/Product/3VA9157-0FK21" TargetMode="External"/><Relationship Id="rId61" Type="http://schemas.openxmlformats.org/officeDocument/2006/relationships/hyperlink" Target="https://mall.industry.siemens.com/mall/en/za/Catalog/Product/6SL3210-5BE27-5UV0" TargetMode="External"/><Relationship Id="rId82" Type="http://schemas.openxmlformats.org/officeDocument/2006/relationships/hyperlink" Target="https://mall.industry.siemens.com/mall/en/za/Catalog/Product/6SL3255-0AA00-4CA1" TargetMode="External"/><Relationship Id="rId199" Type="http://schemas.openxmlformats.org/officeDocument/2006/relationships/hyperlink" Target="https://mall.industry.siemens.com/mall/en/za/Catalog/Product/3VA1096-2ED32-0AA0" TargetMode="External"/><Relationship Id="rId203" Type="http://schemas.openxmlformats.org/officeDocument/2006/relationships/hyperlink" Target="https://mall.industry.siemens.com/mall/en/za/Catalog/Product/3VA9111-0WF30" TargetMode="External"/><Relationship Id="rId19" Type="http://schemas.openxmlformats.org/officeDocument/2006/relationships/hyperlink" Target="https://mall.industry.siemens.com/mall/en/za/Catalog/Product/3VL5750-1DC36-0AA0" TargetMode="External"/><Relationship Id="rId224" Type="http://schemas.openxmlformats.org/officeDocument/2006/relationships/hyperlink" Target="https://mall.industry.siemens.com/mall/en/za/Catalog/Product/7ML1100-1BA30" TargetMode="External"/><Relationship Id="rId30" Type="http://schemas.openxmlformats.org/officeDocument/2006/relationships/hyperlink" Target="https://mall.industry.siemens.com/mall/en/za/Catalog/Product/3RT2016-1BB41" TargetMode="External"/><Relationship Id="rId105" Type="http://schemas.openxmlformats.org/officeDocument/2006/relationships/hyperlink" Target="https://mall.industry.siemens.com/mall/en/za/Catalog/Product/7KM2111-1BA00-3AA0" TargetMode="External"/><Relationship Id="rId126" Type="http://schemas.openxmlformats.org/officeDocument/2006/relationships/hyperlink" Target="https://mall.industry.siemens.com/mall/en/za/Catalog/Product/3SU1100-1HB20-1CG0" TargetMode="External"/><Relationship Id="rId147" Type="http://schemas.openxmlformats.org/officeDocument/2006/relationships/hyperlink" Target="https://mall.industry.siemens.com/mall/en/za/Catalog/Product/3SU1100-2BL60-1NA0" TargetMode="External"/><Relationship Id="rId168" Type="http://schemas.openxmlformats.org/officeDocument/2006/relationships/hyperlink" Target="https://mall.industry.siemens.com/mall/en/za/Catalog/Product/6AV2123-2MA03-0AX0" TargetMode="External"/><Relationship Id="rId51" Type="http://schemas.openxmlformats.org/officeDocument/2006/relationships/hyperlink" Target="https://mall.industry.siemens.com/mall/en/za/Catalog/Product/6AV2124-2DC01-0AX0" TargetMode="External"/><Relationship Id="rId72" Type="http://schemas.openxmlformats.org/officeDocument/2006/relationships/hyperlink" Target="https://mall.industry.siemens.com/mall/en/za/Catalog/Product/6SL3210-1PE23-8AL0" TargetMode="External"/><Relationship Id="rId93" Type="http://schemas.openxmlformats.org/officeDocument/2006/relationships/hyperlink" Target="https://mall.industry.siemens.com/mall/en/za/Catalog/Product/6ES7531-7KF00-0AB0" TargetMode="External"/><Relationship Id="rId189" Type="http://schemas.openxmlformats.org/officeDocument/2006/relationships/hyperlink" Target="https://mall.industry.siemens.com/mall/en/za/Catalog/Product/6SL3210-1PE11-8AL1" TargetMode="External"/><Relationship Id="rId3" Type="http://schemas.openxmlformats.org/officeDocument/2006/relationships/hyperlink" Target="https://mall.industry.siemens.com/mall/en/za/Catalog/Product/3NP1153-1DA10" TargetMode="External"/><Relationship Id="rId214" Type="http://schemas.openxmlformats.org/officeDocument/2006/relationships/hyperlink" Target="https://mall.industry.siemens.com/mall/en/za/Catalog/Product/6EP3332-6SB00-0AY0" TargetMode="External"/><Relationship Id="rId116" Type="http://schemas.openxmlformats.org/officeDocument/2006/relationships/hyperlink" Target="https://mall.industry.siemens.com/mall/en/za/Catalog/Product/3RV2011-1EA10" TargetMode="External"/><Relationship Id="rId137" Type="http://schemas.openxmlformats.org/officeDocument/2006/relationships/hyperlink" Target="https://mall.industry.siemens.com/mall/en/za/Catalog/Product/5SY7106-7CC" TargetMode="External"/><Relationship Id="rId158" Type="http://schemas.openxmlformats.org/officeDocument/2006/relationships/hyperlink" Target="https://mall.industry.siemens.com/mall/en/za/Catalog/Product/3VL9600-3HF0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sam@alveowater.co.za" TargetMode="External"/><Relationship Id="rId13" Type="http://schemas.openxmlformats.org/officeDocument/2006/relationships/hyperlink" Target="mailto:morne.viljoen@alveoenergy.co.za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mailto:l.bashe@alveowater.co.za" TargetMode="External"/><Relationship Id="rId7" Type="http://schemas.openxmlformats.org/officeDocument/2006/relationships/hyperlink" Target="mailto:wl@alveowater.co.za" TargetMode="External"/><Relationship Id="rId12" Type="http://schemas.openxmlformats.org/officeDocument/2006/relationships/hyperlink" Target="mailto:jordy@alveowater.co.za" TargetMode="External"/><Relationship Id="rId17" Type="http://schemas.openxmlformats.org/officeDocument/2006/relationships/hyperlink" Target="mailto:godknows.kufandada@alveoenergy.co.za" TargetMode="External"/><Relationship Id="rId2" Type="http://schemas.openxmlformats.org/officeDocument/2006/relationships/hyperlink" Target="mailto:jeandre@alveowater.co.za" TargetMode="External"/><Relationship Id="rId16" Type="http://schemas.openxmlformats.org/officeDocument/2006/relationships/hyperlink" Target="mailto:tinus.spangenberg@alveoenergy.co.za" TargetMode="External"/><Relationship Id="rId1" Type="http://schemas.openxmlformats.org/officeDocument/2006/relationships/hyperlink" Target="mailto:morne@alveoenergy.co.za" TargetMode="External"/><Relationship Id="rId6" Type="http://schemas.openxmlformats.org/officeDocument/2006/relationships/hyperlink" Target="mailto:tim@alveowater.co.za" TargetMode="External"/><Relationship Id="rId11" Type="http://schemas.openxmlformats.org/officeDocument/2006/relationships/hyperlink" Target="mailto:stephan.boessenkool@alveowater.co.za" TargetMode="External"/><Relationship Id="rId5" Type="http://schemas.openxmlformats.org/officeDocument/2006/relationships/hyperlink" Target="mailto:enaas@alveowater.co.za" TargetMode="External"/><Relationship Id="rId15" Type="http://schemas.openxmlformats.org/officeDocument/2006/relationships/hyperlink" Target="mailto:kobus.burger@alveoenergy.co.za" TargetMode="External"/><Relationship Id="rId10" Type="http://schemas.openxmlformats.org/officeDocument/2006/relationships/hyperlink" Target="mailto:kenny@alveowater.co.za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mailto:meyer@alveowater.co.za" TargetMode="External"/><Relationship Id="rId9" Type="http://schemas.openxmlformats.org/officeDocument/2006/relationships/hyperlink" Target="mailto:patsy@alveowater.co.za" TargetMode="External"/><Relationship Id="rId14" Type="http://schemas.openxmlformats.org/officeDocument/2006/relationships/hyperlink" Target="mailto:dandre.vosloo@alveoenergy.co.z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mailto:dandre.vosloo@alveoenergy.co.za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morne.viljoen@alveoenergy.co.za" TargetMode="External"/><Relationship Id="rId1" Type="http://schemas.openxmlformats.org/officeDocument/2006/relationships/hyperlink" Target="mailto:morne@alveoenergy.co.za" TargetMode="External"/><Relationship Id="rId6" Type="http://schemas.openxmlformats.org/officeDocument/2006/relationships/hyperlink" Target="mailto:godknows.kufandada@alveoenergy.co.za" TargetMode="External"/><Relationship Id="rId5" Type="http://schemas.openxmlformats.org/officeDocument/2006/relationships/hyperlink" Target="mailto:tinus.spangenberg@alveoenergy.co.za" TargetMode="External"/><Relationship Id="rId4" Type="http://schemas.openxmlformats.org/officeDocument/2006/relationships/hyperlink" Target="mailto:kobus.burger@alveoenergy.co.z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A1593-A879-416A-BF01-FD7F99A9FFFE}">
  <sheetPr codeName="Sheet1">
    <tabColor theme="0" tint="-0.499984740745262"/>
  </sheetPr>
  <dimension ref="A1:U568"/>
  <sheetViews>
    <sheetView tabSelected="1" zoomScale="85" zoomScaleNormal="85" workbookViewId="0">
      <pane xSplit="11" ySplit="7" topLeftCell="L289" activePane="bottomRight" state="frozen"/>
      <selection pane="topRight" activeCell="L1" sqref="L1"/>
      <selection pane="bottomLeft" activeCell="A5" sqref="A5"/>
      <selection pane="bottomRight" activeCell="E306" sqref="E306"/>
    </sheetView>
  </sheetViews>
  <sheetFormatPr defaultRowHeight="14.4" x14ac:dyDescent="0.3"/>
  <cols>
    <col min="1" max="1" width="18" customWidth="1"/>
    <col min="2" max="2" width="43.6640625" bestFit="1" customWidth="1"/>
    <col min="3" max="3" width="22.5546875" customWidth="1"/>
    <col min="4" max="4" width="26.5546875" customWidth="1"/>
    <col min="5" max="5" width="26.109375" customWidth="1"/>
    <col min="6" max="6" width="14.6640625" customWidth="1"/>
    <col min="7" max="7" width="23.109375" customWidth="1"/>
    <col min="8" max="8" width="16.33203125" customWidth="1"/>
    <col min="9" max="9" width="19.88671875" customWidth="1"/>
    <col min="10" max="10" width="14" customWidth="1"/>
    <col min="11" max="11" width="24.33203125" customWidth="1"/>
    <col min="12" max="12" width="23.5546875" customWidth="1"/>
    <col min="13" max="13" width="14.44140625" customWidth="1"/>
    <col min="14" max="14" width="22.88671875" customWidth="1"/>
    <col min="16" max="16" width="17.33203125" customWidth="1"/>
  </cols>
  <sheetData>
    <row r="1" spans="1:14" ht="15" thickBot="1" x14ac:dyDescent="0.35"/>
    <row r="2" spans="1:14" ht="24" thickBot="1" x14ac:dyDescent="0.35">
      <c r="A2" s="322" t="s">
        <v>578</v>
      </c>
      <c r="B2" s="323"/>
      <c r="C2" s="96" t="s">
        <v>1029</v>
      </c>
      <c r="D2" s="97"/>
      <c r="E2" s="81" t="s">
        <v>1014</v>
      </c>
      <c r="F2" s="324"/>
      <c r="G2" s="324"/>
      <c r="H2" s="324"/>
      <c r="I2" s="178"/>
      <c r="J2" s="179"/>
      <c r="K2" s="180"/>
      <c r="L2" s="84" t="s">
        <v>238</v>
      </c>
      <c r="M2" s="327">
        <f>SUM(K129,K275,K384,K538)</f>
        <v>2588486.35</v>
      </c>
      <c r="N2" s="328"/>
    </row>
    <row r="3" spans="1:14" ht="24" thickBot="1" x14ac:dyDescent="0.5">
      <c r="A3" s="329" t="s">
        <v>0</v>
      </c>
      <c r="B3" s="330"/>
      <c r="C3" s="331">
        <v>44035</v>
      </c>
      <c r="D3" s="332"/>
      <c r="E3" s="89"/>
      <c r="F3" s="325"/>
      <c r="G3" s="326"/>
      <c r="H3" s="325"/>
      <c r="I3" s="181" t="s">
        <v>1042</v>
      </c>
      <c r="J3" s="182">
        <v>1</v>
      </c>
      <c r="K3" s="183"/>
      <c r="L3" s="7" t="s">
        <v>601</v>
      </c>
      <c r="M3" s="321">
        <f>SUM(K459)</f>
        <v>0</v>
      </c>
      <c r="N3" s="321"/>
    </row>
    <row r="4" spans="1:14" ht="24" thickBot="1" x14ac:dyDescent="0.5">
      <c r="A4" s="333" t="s">
        <v>2</v>
      </c>
      <c r="B4" s="334"/>
      <c r="C4" s="335" t="s">
        <v>577</v>
      </c>
      <c r="D4" s="336"/>
      <c r="E4" s="217"/>
      <c r="F4" s="325"/>
      <c r="G4" s="325"/>
      <c r="H4" s="325"/>
      <c r="I4" s="184" t="s">
        <v>987</v>
      </c>
      <c r="J4" s="185">
        <v>0</v>
      </c>
      <c r="K4" s="186"/>
      <c r="L4" s="7" t="s">
        <v>25</v>
      </c>
      <c r="M4" s="321">
        <f>SUM(K534,K535,K536,K537,K539,K540,K541,K542)</f>
        <v>600</v>
      </c>
      <c r="N4" s="321"/>
    </row>
    <row r="5" spans="1:14" ht="24" customHeight="1" thickBot="1" x14ac:dyDescent="0.45">
      <c r="A5" s="341"/>
      <c r="B5" s="342"/>
      <c r="C5" s="342"/>
      <c r="D5" s="342"/>
      <c r="E5" s="342"/>
      <c r="F5" s="342"/>
      <c r="G5" s="342"/>
      <c r="H5" s="343"/>
      <c r="I5" s="337" t="s">
        <v>696</v>
      </c>
      <c r="J5" s="338"/>
      <c r="K5" s="94">
        <v>1</v>
      </c>
      <c r="L5" s="7" t="s">
        <v>593</v>
      </c>
      <c r="M5" s="321">
        <f>SUM(K521)</f>
        <v>0</v>
      </c>
      <c r="N5" s="321"/>
    </row>
    <row r="6" spans="1:14" ht="24" thickBot="1" x14ac:dyDescent="0.5">
      <c r="A6" s="344"/>
      <c r="B6" s="345"/>
      <c r="C6" s="345"/>
      <c r="D6" s="345"/>
      <c r="E6" s="345"/>
      <c r="F6" s="345"/>
      <c r="G6" s="345"/>
      <c r="H6" s="346"/>
      <c r="I6" s="339" t="s">
        <v>697</v>
      </c>
      <c r="J6" s="340"/>
      <c r="K6" s="95" t="b">
        <f>K297=SUM(M2:M7)</f>
        <v>0</v>
      </c>
      <c r="L6" s="7" t="s">
        <v>603</v>
      </c>
      <c r="M6" s="321">
        <f>SUM(K507)</f>
        <v>119.75</v>
      </c>
      <c r="N6" s="321"/>
    </row>
    <row r="7" spans="1:14" ht="24" thickBot="1" x14ac:dyDescent="0.5">
      <c r="A7" s="71" t="s">
        <v>576</v>
      </c>
      <c r="B7" s="71" t="s">
        <v>575</v>
      </c>
      <c r="C7" s="71" t="s">
        <v>574</v>
      </c>
      <c r="D7" s="71" t="s">
        <v>914</v>
      </c>
      <c r="E7" s="71" t="s">
        <v>573</v>
      </c>
      <c r="F7" s="71" t="s">
        <v>572</v>
      </c>
      <c r="G7" s="71" t="s">
        <v>571</v>
      </c>
      <c r="H7" s="71" t="s">
        <v>570</v>
      </c>
      <c r="I7" s="71" t="s">
        <v>569</v>
      </c>
      <c r="J7" s="71" t="s">
        <v>568</v>
      </c>
      <c r="K7" s="71" t="s">
        <v>567</v>
      </c>
      <c r="L7" s="7" t="s">
        <v>602</v>
      </c>
      <c r="M7" s="320">
        <f>SUM(K530)</f>
        <v>0</v>
      </c>
      <c r="N7" s="321"/>
    </row>
    <row r="8" spans="1:14" x14ac:dyDescent="0.3">
      <c r="A8" s="303" t="s">
        <v>566</v>
      </c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14" t="s">
        <v>9</v>
      </c>
      <c r="M8" s="316" t="b">
        <f>K6</f>
        <v>0</v>
      </c>
      <c r="N8" s="318" t="s">
        <v>698</v>
      </c>
    </row>
    <row r="9" spans="1:14" ht="15" thickBot="1" x14ac:dyDescent="0.35">
      <c r="A9" s="306"/>
      <c r="B9" s="307"/>
      <c r="C9" s="307"/>
      <c r="D9" s="307"/>
      <c r="E9" s="307"/>
      <c r="F9" s="307"/>
      <c r="G9" s="307"/>
      <c r="H9" s="307"/>
      <c r="I9" s="307"/>
      <c r="J9" s="307"/>
      <c r="K9" s="307"/>
      <c r="L9" s="315"/>
      <c r="M9" s="317"/>
      <c r="N9" s="319"/>
    </row>
    <row r="10" spans="1:14" x14ac:dyDescent="0.3">
      <c r="A10" s="101" t="s">
        <v>836</v>
      </c>
      <c r="B10" s="66" t="s">
        <v>565</v>
      </c>
      <c r="C10" s="10" t="s">
        <v>71</v>
      </c>
      <c r="D10" s="58"/>
      <c r="E10" s="187" t="s">
        <v>971</v>
      </c>
      <c r="F10" s="10">
        <v>1</v>
      </c>
      <c r="G10" s="75">
        <v>2080</v>
      </c>
      <c r="H10" s="27">
        <v>0.2</v>
      </c>
      <c r="I10" s="26">
        <f t="shared" ref="I10:I15" si="0">(G10*(100%-H10))*F10</f>
        <v>1664</v>
      </c>
      <c r="J10" s="25">
        <f t="shared" ref="J10:J15" si="1">$K$5</f>
        <v>1</v>
      </c>
      <c r="K10" s="24">
        <f t="shared" ref="K10:K15" si="2">I10/$K$5</f>
        <v>1664</v>
      </c>
    </row>
    <row r="11" spans="1:14" x14ac:dyDescent="0.3">
      <c r="A11" s="101" t="s">
        <v>836</v>
      </c>
      <c r="B11" s="66" t="s">
        <v>564</v>
      </c>
      <c r="C11" s="10" t="s">
        <v>71</v>
      </c>
      <c r="D11" s="58"/>
      <c r="E11" s="187" t="s">
        <v>972</v>
      </c>
      <c r="F11" s="10">
        <v>1</v>
      </c>
      <c r="G11" s="75">
        <v>2130</v>
      </c>
      <c r="H11" s="27">
        <v>0.2</v>
      </c>
      <c r="I11" s="26">
        <f t="shared" si="0"/>
        <v>1704</v>
      </c>
      <c r="J11" s="25">
        <f t="shared" si="1"/>
        <v>1</v>
      </c>
      <c r="K11" s="24">
        <f t="shared" si="2"/>
        <v>1704</v>
      </c>
    </row>
    <row r="12" spans="1:14" x14ac:dyDescent="0.3">
      <c r="A12" s="101" t="s">
        <v>836</v>
      </c>
      <c r="B12" s="66" t="s">
        <v>563</v>
      </c>
      <c r="C12" s="10" t="s">
        <v>71</v>
      </c>
      <c r="D12" s="58"/>
      <c r="E12" s="187" t="s">
        <v>562</v>
      </c>
      <c r="F12" s="10">
        <v>1</v>
      </c>
      <c r="G12" s="75">
        <v>1080</v>
      </c>
      <c r="H12" s="27">
        <v>0.2</v>
      </c>
      <c r="I12" s="26">
        <f t="shared" si="0"/>
        <v>864</v>
      </c>
      <c r="J12" s="25">
        <f t="shared" si="1"/>
        <v>1</v>
      </c>
      <c r="K12" s="24">
        <f t="shared" si="2"/>
        <v>864</v>
      </c>
    </row>
    <row r="13" spans="1:14" x14ac:dyDescent="0.3">
      <c r="A13" s="101" t="s">
        <v>836</v>
      </c>
      <c r="B13" s="66" t="s">
        <v>561</v>
      </c>
      <c r="C13" s="10" t="s">
        <v>71</v>
      </c>
      <c r="D13" s="58"/>
      <c r="E13" s="187" t="s">
        <v>560</v>
      </c>
      <c r="F13" s="10">
        <v>1</v>
      </c>
      <c r="G13" s="75">
        <v>1760</v>
      </c>
      <c r="H13" s="27">
        <v>0.2</v>
      </c>
      <c r="I13" s="26">
        <f t="shared" si="0"/>
        <v>1408</v>
      </c>
      <c r="J13" s="25">
        <f t="shared" si="1"/>
        <v>1</v>
      </c>
      <c r="K13" s="24">
        <f t="shared" si="2"/>
        <v>1408</v>
      </c>
    </row>
    <row r="14" spans="1:14" x14ac:dyDescent="0.3">
      <c r="A14" s="101" t="s">
        <v>836</v>
      </c>
      <c r="B14" s="66" t="s">
        <v>559</v>
      </c>
      <c r="C14" s="10" t="s">
        <v>71</v>
      </c>
      <c r="D14" s="58"/>
      <c r="E14" s="187" t="s">
        <v>558</v>
      </c>
      <c r="F14" s="10">
        <v>1</v>
      </c>
      <c r="G14" s="75">
        <v>1080</v>
      </c>
      <c r="H14" s="27">
        <v>0.2</v>
      </c>
      <c r="I14" s="26">
        <f t="shared" si="0"/>
        <v>864</v>
      </c>
      <c r="J14" s="25">
        <f t="shared" si="1"/>
        <v>1</v>
      </c>
      <c r="K14" s="24">
        <f t="shared" si="2"/>
        <v>864</v>
      </c>
    </row>
    <row r="15" spans="1:14" x14ac:dyDescent="0.3">
      <c r="A15" s="101" t="s">
        <v>836</v>
      </c>
      <c r="B15" s="66" t="s">
        <v>557</v>
      </c>
      <c r="C15" s="10" t="s">
        <v>71</v>
      </c>
      <c r="D15" s="58"/>
      <c r="E15" s="187" t="s">
        <v>556</v>
      </c>
      <c r="F15" s="10">
        <v>1</v>
      </c>
      <c r="G15" s="75">
        <v>1760</v>
      </c>
      <c r="H15" s="27">
        <v>0.2</v>
      </c>
      <c r="I15" s="26">
        <f t="shared" si="0"/>
        <v>1408</v>
      </c>
      <c r="J15" s="25">
        <f t="shared" si="1"/>
        <v>1</v>
      </c>
      <c r="K15" s="24">
        <f t="shared" si="2"/>
        <v>1408</v>
      </c>
    </row>
    <row r="16" spans="1:14" x14ac:dyDescent="0.3">
      <c r="A16" s="101" t="s">
        <v>836</v>
      </c>
      <c r="B16" s="66"/>
      <c r="C16" s="10"/>
      <c r="D16" s="58"/>
      <c r="E16" s="188"/>
      <c r="F16" s="10"/>
      <c r="G16" s="26"/>
      <c r="H16" s="27"/>
      <c r="I16" s="26"/>
      <c r="J16" s="25"/>
      <c r="K16" s="24"/>
    </row>
    <row r="17" spans="1:11" x14ac:dyDescent="0.3">
      <c r="A17" s="101" t="s">
        <v>836</v>
      </c>
      <c r="B17" s="66" t="s">
        <v>555</v>
      </c>
      <c r="C17" s="10" t="s">
        <v>71</v>
      </c>
      <c r="D17" s="57"/>
      <c r="E17" s="187" t="s">
        <v>554</v>
      </c>
      <c r="F17" s="10">
        <v>1</v>
      </c>
      <c r="G17" s="176">
        <v>10900</v>
      </c>
      <c r="H17" s="27">
        <v>0.2</v>
      </c>
      <c r="I17" s="26">
        <f t="shared" ref="I17:I30" si="3">(G17*(100%-H17))*F17</f>
        <v>8720</v>
      </c>
      <c r="J17" s="25">
        <f t="shared" ref="J17:J30" si="4">$K$5</f>
        <v>1</v>
      </c>
      <c r="K17" s="24">
        <f t="shared" ref="K17:K30" si="5">I17/$K$5</f>
        <v>8720</v>
      </c>
    </row>
    <row r="18" spans="1:11" x14ac:dyDescent="0.3">
      <c r="A18" s="101" t="s">
        <v>836</v>
      </c>
      <c r="B18" s="65" t="s">
        <v>553</v>
      </c>
      <c r="C18" s="1" t="s">
        <v>71</v>
      </c>
      <c r="D18" s="57"/>
      <c r="E18" s="187" t="s">
        <v>552</v>
      </c>
      <c r="F18" s="10">
        <v>1</v>
      </c>
      <c r="G18" s="176">
        <v>7270</v>
      </c>
      <c r="H18" s="27">
        <v>0.2</v>
      </c>
      <c r="I18" s="26">
        <f t="shared" si="3"/>
        <v>5816</v>
      </c>
      <c r="J18" s="25">
        <f t="shared" si="4"/>
        <v>1</v>
      </c>
      <c r="K18" s="24">
        <f t="shared" si="5"/>
        <v>5816</v>
      </c>
    </row>
    <row r="19" spans="1:11" x14ac:dyDescent="0.3">
      <c r="A19" s="101" t="s">
        <v>836</v>
      </c>
      <c r="B19" s="65" t="s">
        <v>551</v>
      </c>
      <c r="C19" s="1" t="s">
        <v>71</v>
      </c>
      <c r="D19" s="58"/>
      <c r="E19" s="187" t="s">
        <v>544</v>
      </c>
      <c r="F19" s="10">
        <v>1</v>
      </c>
      <c r="G19" s="75">
        <v>4810</v>
      </c>
      <c r="H19" s="27">
        <v>0.2</v>
      </c>
      <c r="I19" s="26">
        <f t="shared" si="3"/>
        <v>3848</v>
      </c>
      <c r="J19" s="25">
        <f t="shared" si="4"/>
        <v>1</v>
      </c>
      <c r="K19" s="24">
        <f t="shared" si="5"/>
        <v>3848</v>
      </c>
    </row>
    <row r="20" spans="1:11" x14ac:dyDescent="0.3">
      <c r="A20" s="101" t="s">
        <v>836</v>
      </c>
      <c r="B20" s="66" t="s">
        <v>543</v>
      </c>
      <c r="C20" s="10" t="s">
        <v>71</v>
      </c>
      <c r="D20" s="67"/>
      <c r="E20" s="187" t="s">
        <v>550</v>
      </c>
      <c r="F20" s="10">
        <v>1</v>
      </c>
      <c r="G20" s="75">
        <v>4310</v>
      </c>
      <c r="H20" s="27">
        <v>0.2</v>
      </c>
      <c r="I20" s="26">
        <f t="shared" si="3"/>
        <v>3448</v>
      </c>
      <c r="J20" s="25">
        <f t="shared" si="4"/>
        <v>1</v>
      </c>
      <c r="K20" s="24">
        <f t="shared" si="5"/>
        <v>3448</v>
      </c>
    </row>
    <row r="21" spans="1:11" x14ac:dyDescent="0.3">
      <c r="A21" s="101" t="s">
        <v>836</v>
      </c>
      <c r="B21" s="66" t="s">
        <v>542</v>
      </c>
      <c r="C21" s="10" t="s">
        <v>71</v>
      </c>
      <c r="D21" s="58"/>
      <c r="E21" s="187" t="s">
        <v>549</v>
      </c>
      <c r="F21" s="10">
        <v>1</v>
      </c>
      <c r="G21" s="75">
        <v>7010</v>
      </c>
      <c r="H21" s="27">
        <v>0.2</v>
      </c>
      <c r="I21" s="26">
        <f t="shared" si="3"/>
        <v>5608</v>
      </c>
      <c r="J21" s="25">
        <f t="shared" si="4"/>
        <v>1</v>
      </c>
      <c r="K21" s="24">
        <f t="shared" si="5"/>
        <v>5608</v>
      </c>
    </row>
    <row r="22" spans="1:11" x14ac:dyDescent="0.3">
      <c r="A22" s="101" t="s">
        <v>836</v>
      </c>
      <c r="B22" s="66" t="s">
        <v>541</v>
      </c>
      <c r="C22" s="10" t="s">
        <v>71</v>
      </c>
      <c r="D22" s="58"/>
      <c r="E22" s="187" t="s">
        <v>548</v>
      </c>
      <c r="F22" s="10">
        <v>1</v>
      </c>
      <c r="G22" s="75">
        <v>6280</v>
      </c>
      <c r="H22" s="27">
        <v>0.2</v>
      </c>
      <c r="I22" s="26">
        <f t="shared" si="3"/>
        <v>5024</v>
      </c>
      <c r="J22" s="25">
        <f t="shared" si="4"/>
        <v>1</v>
      </c>
      <c r="K22" s="24">
        <f t="shared" si="5"/>
        <v>5024</v>
      </c>
    </row>
    <row r="23" spans="1:11" x14ac:dyDescent="0.3">
      <c r="A23" s="101" t="s">
        <v>836</v>
      </c>
      <c r="B23" s="65" t="s">
        <v>540</v>
      </c>
      <c r="C23" s="10" t="s">
        <v>71</v>
      </c>
      <c r="D23" s="58"/>
      <c r="E23" s="187" t="s">
        <v>547</v>
      </c>
      <c r="F23" s="10">
        <v>1</v>
      </c>
      <c r="G23" s="75">
        <v>7270</v>
      </c>
      <c r="H23" s="27">
        <v>0.2</v>
      </c>
      <c r="I23" s="26">
        <f t="shared" si="3"/>
        <v>5816</v>
      </c>
      <c r="J23" s="25">
        <f t="shared" si="4"/>
        <v>1</v>
      </c>
      <c r="K23" s="24">
        <f t="shared" si="5"/>
        <v>5816</v>
      </c>
    </row>
    <row r="24" spans="1:11" x14ac:dyDescent="0.3">
      <c r="A24" s="101" t="s">
        <v>836</v>
      </c>
      <c r="B24" s="79" t="s">
        <v>644</v>
      </c>
      <c r="C24" s="10" t="s">
        <v>71</v>
      </c>
      <c r="D24" s="58"/>
      <c r="E24" s="187" t="s">
        <v>646</v>
      </c>
      <c r="F24" s="10">
        <v>1</v>
      </c>
      <c r="G24" s="75">
        <v>2100</v>
      </c>
      <c r="H24" s="27">
        <v>0.2</v>
      </c>
      <c r="I24" s="26">
        <f t="shared" si="3"/>
        <v>1680</v>
      </c>
      <c r="J24" s="25">
        <f t="shared" si="4"/>
        <v>1</v>
      </c>
      <c r="K24" s="24">
        <f t="shared" si="5"/>
        <v>1680</v>
      </c>
    </row>
    <row r="25" spans="1:11" x14ac:dyDescent="0.3">
      <c r="A25" s="101" t="s">
        <v>836</v>
      </c>
      <c r="B25" s="79" t="s">
        <v>645</v>
      </c>
      <c r="C25" s="10" t="s">
        <v>71</v>
      </c>
      <c r="D25" s="58"/>
      <c r="E25" s="187" t="s">
        <v>643</v>
      </c>
      <c r="F25" s="10">
        <v>1</v>
      </c>
      <c r="G25" s="75">
        <v>3330</v>
      </c>
      <c r="H25" s="27">
        <v>0.2</v>
      </c>
      <c r="I25" s="26">
        <f t="shared" si="3"/>
        <v>2664</v>
      </c>
      <c r="J25" s="25">
        <f t="shared" si="4"/>
        <v>1</v>
      </c>
      <c r="K25" s="24">
        <f t="shared" si="5"/>
        <v>2664</v>
      </c>
    </row>
    <row r="26" spans="1:11" x14ac:dyDescent="0.3">
      <c r="A26" s="101" t="s">
        <v>836</v>
      </c>
      <c r="B26" s="79" t="s">
        <v>647</v>
      </c>
      <c r="C26" s="10" t="s">
        <v>71</v>
      </c>
      <c r="D26" s="58"/>
      <c r="E26" s="187" t="s">
        <v>649</v>
      </c>
      <c r="F26" s="10">
        <v>1</v>
      </c>
      <c r="G26" s="75">
        <v>2100</v>
      </c>
      <c r="H26" s="27">
        <v>0.2</v>
      </c>
      <c r="I26" s="26">
        <f t="shared" si="3"/>
        <v>1680</v>
      </c>
      <c r="J26" s="25">
        <f t="shared" si="4"/>
        <v>1</v>
      </c>
      <c r="K26" s="24">
        <f t="shared" si="5"/>
        <v>1680</v>
      </c>
    </row>
    <row r="27" spans="1:11" x14ac:dyDescent="0.3">
      <c r="A27" s="101" t="s">
        <v>836</v>
      </c>
      <c r="B27" s="79" t="s">
        <v>648</v>
      </c>
      <c r="C27" s="10" t="s">
        <v>71</v>
      </c>
      <c r="D27" s="58"/>
      <c r="E27" s="187" t="s">
        <v>650</v>
      </c>
      <c r="F27" s="10">
        <v>1</v>
      </c>
      <c r="G27" s="75">
        <v>3330</v>
      </c>
      <c r="H27" s="27">
        <v>0.2</v>
      </c>
      <c r="I27" s="26">
        <f t="shared" si="3"/>
        <v>2664</v>
      </c>
      <c r="J27" s="25">
        <f t="shared" si="4"/>
        <v>1</v>
      </c>
      <c r="K27" s="24">
        <f t="shared" si="5"/>
        <v>2664</v>
      </c>
    </row>
    <row r="28" spans="1:11" x14ac:dyDescent="0.3">
      <c r="A28" s="101" t="s">
        <v>836</v>
      </c>
      <c r="B28" s="66" t="s">
        <v>539</v>
      </c>
      <c r="C28" s="10" t="s">
        <v>71</v>
      </c>
      <c r="D28" s="57"/>
      <c r="E28" s="187" t="s">
        <v>546</v>
      </c>
      <c r="F28" s="10">
        <v>1</v>
      </c>
      <c r="G28" s="75">
        <v>3330</v>
      </c>
      <c r="H28" s="27">
        <v>0.2</v>
      </c>
      <c r="I28" s="26">
        <f t="shared" si="3"/>
        <v>2664</v>
      </c>
      <c r="J28" s="25">
        <f t="shared" si="4"/>
        <v>1</v>
      </c>
      <c r="K28" s="24">
        <f t="shared" si="5"/>
        <v>2664</v>
      </c>
    </row>
    <row r="29" spans="1:11" x14ac:dyDescent="0.3">
      <c r="A29" s="101" t="s">
        <v>836</v>
      </c>
      <c r="B29" s="66" t="s">
        <v>538</v>
      </c>
      <c r="C29" s="10" t="s">
        <v>71</v>
      </c>
      <c r="D29" s="58"/>
      <c r="E29" s="187" t="s">
        <v>545</v>
      </c>
      <c r="F29" s="10">
        <v>1</v>
      </c>
      <c r="G29" s="75">
        <v>5280</v>
      </c>
      <c r="H29" s="27">
        <v>0.2</v>
      </c>
      <c r="I29" s="26">
        <f t="shared" si="3"/>
        <v>4224</v>
      </c>
      <c r="J29" s="25">
        <f t="shared" si="4"/>
        <v>1</v>
      </c>
      <c r="K29" s="24">
        <f t="shared" si="5"/>
        <v>4224</v>
      </c>
    </row>
    <row r="30" spans="1:11" x14ac:dyDescent="0.3">
      <c r="A30" s="101" t="s">
        <v>836</v>
      </c>
      <c r="B30" s="79" t="s">
        <v>583</v>
      </c>
      <c r="C30" s="10" t="s">
        <v>71</v>
      </c>
      <c r="D30" s="58"/>
      <c r="E30" s="187" t="s">
        <v>584</v>
      </c>
      <c r="F30" s="10">
        <v>1</v>
      </c>
      <c r="G30" s="75">
        <v>2460</v>
      </c>
      <c r="H30" s="27">
        <v>0.2</v>
      </c>
      <c r="I30" s="26">
        <f t="shared" si="3"/>
        <v>1968</v>
      </c>
      <c r="J30" s="25">
        <f t="shared" si="4"/>
        <v>1</v>
      </c>
      <c r="K30" s="24">
        <f t="shared" si="5"/>
        <v>1968</v>
      </c>
    </row>
    <row r="31" spans="1:11" x14ac:dyDescent="0.3">
      <c r="A31" s="101" t="s">
        <v>836</v>
      </c>
      <c r="B31" s="66"/>
      <c r="C31" s="10"/>
      <c r="D31" s="58"/>
      <c r="E31" s="188"/>
      <c r="F31" s="10"/>
      <c r="G31" s="26"/>
      <c r="H31" s="27"/>
      <c r="I31" s="26"/>
      <c r="J31" s="25"/>
      <c r="K31" s="24"/>
    </row>
    <row r="32" spans="1:11" x14ac:dyDescent="0.3">
      <c r="A32" s="101" t="s">
        <v>836</v>
      </c>
      <c r="B32" s="65" t="s">
        <v>537</v>
      </c>
      <c r="C32" s="10" t="s">
        <v>71</v>
      </c>
      <c r="D32" s="57"/>
      <c r="E32" s="187" t="s">
        <v>536</v>
      </c>
      <c r="F32" s="10">
        <v>1</v>
      </c>
      <c r="G32" s="75">
        <v>7630</v>
      </c>
      <c r="H32" s="27">
        <v>0.2</v>
      </c>
      <c r="I32" s="26">
        <f t="shared" ref="I32:I38" si="6">(G32*(100%-H32))*F32</f>
        <v>6104</v>
      </c>
      <c r="J32" s="25">
        <f t="shared" ref="J32:J38" si="7">$K$5</f>
        <v>1</v>
      </c>
      <c r="K32" s="24">
        <f t="shared" ref="K32:K38" si="8">I32/$K$5</f>
        <v>6104</v>
      </c>
    </row>
    <row r="33" spans="1:11" x14ac:dyDescent="0.3">
      <c r="A33" s="101" t="s">
        <v>836</v>
      </c>
      <c r="B33" s="65" t="s">
        <v>535</v>
      </c>
      <c r="C33" s="10" t="s">
        <v>71</v>
      </c>
      <c r="D33" s="57"/>
      <c r="E33" s="187" t="s">
        <v>534</v>
      </c>
      <c r="F33" s="10">
        <v>1</v>
      </c>
      <c r="G33" s="75">
        <v>14400</v>
      </c>
      <c r="H33" s="27">
        <v>0.2</v>
      </c>
      <c r="I33" s="26">
        <f t="shared" si="6"/>
        <v>11520</v>
      </c>
      <c r="J33" s="25">
        <f t="shared" si="7"/>
        <v>1</v>
      </c>
      <c r="K33" s="24">
        <f t="shared" si="8"/>
        <v>11520</v>
      </c>
    </row>
    <row r="34" spans="1:11" x14ac:dyDescent="0.3">
      <c r="A34" s="101" t="s">
        <v>836</v>
      </c>
      <c r="B34" s="65" t="s">
        <v>533</v>
      </c>
      <c r="C34" s="10" t="s">
        <v>71</v>
      </c>
      <c r="D34" s="57"/>
      <c r="E34" s="187" t="s">
        <v>532</v>
      </c>
      <c r="F34" s="10">
        <v>1</v>
      </c>
      <c r="G34" s="75">
        <v>13900</v>
      </c>
      <c r="H34" s="27">
        <v>0.2</v>
      </c>
      <c r="I34" s="26">
        <f t="shared" si="6"/>
        <v>11120</v>
      </c>
      <c r="J34" s="25">
        <f t="shared" si="7"/>
        <v>1</v>
      </c>
      <c r="K34" s="24">
        <f t="shared" si="8"/>
        <v>11120</v>
      </c>
    </row>
    <row r="35" spans="1:11" x14ac:dyDescent="0.3">
      <c r="A35" s="101" t="s">
        <v>836</v>
      </c>
      <c r="B35" s="65" t="s">
        <v>531</v>
      </c>
      <c r="C35" s="10" t="s">
        <v>71</v>
      </c>
      <c r="D35" s="57"/>
      <c r="E35" s="187" t="s">
        <v>530</v>
      </c>
      <c r="F35" s="10">
        <v>1</v>
      </c>
      <c r="G35" s="75">
        <v>24300</v>
      </c>
      <c r="H35" s="27">
        <v>0.2</v>
      </c>
      <c r="I35" s="26">
        <f t="shared" si="6"/>
        <v>19440</v>
      </c>
      <c r="J35" s="25">
        <f t="shared" si="7"/>
        <v>1</v>
      </c>
      <c r="K35" s="24">
        <f t="shared" si="8"/>
        <v>19440</v>
      </c>
    </row>
    <row r="36" spans="1:11" x14ac:dyDescent="0.3">
      <c r="A36" s="101" t="s">
        <v>836</v>
      </c>
      <c r="B36" s="65" t="s">
        <v>529</v>
      </c>
      <c r="C36" s="10" t="s">
        <v>71</v>
      </c>
      <c r="D36" s="57"/>
      <c r="E36" s="187" t="s">
        <v>528</v>
      </c>
      <c r="F36" s="10">
        <v>1</v>
      </c>
      <c r="G36" s="75">
        <v>34700</v>
      </c>
      <c r="H36" s="27">
        <v>0.2</v>
      </c>
      <c r="I36" s="26">
        <f t="shared" si="6"/>
        <v>27760</v>
      </c>
      <c r="J36" s="25">
        <f t="shared" si="7"/>
        <v>1</v>
      </c>
      <c r="K36" s="24">
        <f t="shared" si="8"/>
        <v>27760</v>
      </c>
    </row>
    <row r="37" spans="1:11" x14ac:dyDescent="0.3">
      <c r="A37" s="101" t="s">
        <v>836</v>
      </c>
      <c r="B37" s="65" t="s">
        <v>527</v>
      </c>
      <c r="C37" s="10" t="s">
        <v>71</v>
      </c>
      <c r="D37" s="57"/>
      <c r="E37" s="187" t="s">
        <v>526</v>
      </c>
      <c r="F37" s="10">
        <v>1</v>
      </c>
      <c r="G37" s="75">
        <v>52600</v>
      </c>
      <c r="H37" s="27">
        <v>0.2</v>
      </c>
      <c r="I37" s="26">
        <f t="shared" si="6"/>
        <v>42080</v>
      </c>
      <c r="J37" s="25">
        <f t="shared" si="7"/>
        <v>1</v>
      </c>
      <c r="K37" s="24">
        <f t="shared" si="8"/>
        <v>42080</v>
      </c>
    </row>
    <row r="38" spans="1:11" x14ac:dyDescent="0.3">
      <c r="A38" s="101" t="s">
        <v>836</v>
      </c>
      <c r="B38" s="65" t="s">
        <v>525</v>
      </c>
      <c r="C38" s="10" t="s">
        <v>71</v>
      </c>
      <c r="D38" s="57"/>
      <c r="E38" s="187" t="s">
        <v>524</v>
      </c>
      <c r="F38" s="10">
        <v>1</v>
      </c>
      <c r="G38" s="75">
        <v>67000</v>
      </c>
      <c r="H38" s="27">
        <v>0.2</v>
      </c>
      <c r="I38" s="26">
        <f t="shared" si="6"/>
        <v>53600</v>
      </c>
      <c r="J38" s="25">
        <f t="shared" si="7"/>
        <v>1</v>
      </c>
      <c r="K38" s="24">
        <f t="shared" si="8"/>
        <v>53600</v>
      </c>
    </row>
    <row r="39" spans="1:11" x14ac:dyDescent="0.3">
      <c r="A39" s="101" t="s">
        <v>836</v>
      </c>
      <c r="B39" s="65"/>
      <c r="C39" s="1"/>
      <c r="D39" s="57"/>
      <c r="E39" s="187"/>
      <c r="F39" s="10"/>
      <c r="G39" s="26"/>
      <c r="H39" s="27"/>
      <c r="I39" s="26"/>
      <c r="J39" s="25"/>
      <c r="K39" s="24"/>
    </row>
    <row r="40" spans="1:11" x14ac:dyDescent="0.3">
      <c r="A40" s="101" t="s">
        <v>836</v>
      </c>
      <c r="B40" s="66" t="s">
        <v>830</v>
      </c>
      <c r="C40" s="10" t="s">
        <v>71</v>
      </c>
      <c r="D40" s="58"/>
      <c r="E40" s="187" t="s">
        <v>831</v>
      </c>
      <c r="F40" s="10">
        <v>1</v>
      </c>
      <c r="G40" s="75">
        <v>792</v>
      </c>
      <c r="H40" s="27">
        <v>0.2</v>
      </c>
      <c r="I40" s="26">
        <f>(G40*(100%-H40))*F40</f>
        <v>633.6</v>
      </c>
      <c r="J40" s="25">
        <f>$K$5</f>
        <v>1</v>
      </c>
      <c r="K40" s="24">
        <f>I40/$K$5</f>
        <v>633.6</v>
      </c>
    </row>
    <row r="41" spans="1:11" x14ac:dyDescent="0.3">
      <c r="A41" s="101" t="s">
        <v>836</v>
      </c>
      <c r="B41" s="66" t="s">
        <v>832</v>
      </c>
      <c r="C41" s="10" t="s">
        <v>71</v>
      </c>
      <c r="D41" s="57"/>
      <c r="E41" s="187" t="s">
        <v>833</v>
      </c>
      <c r="F41" s="10">
        <v>1</v>
      </c>
      <c r="G41" s="75">
        <v>1050</v>
      </c>
      <c r="H41" s="27">
        <v>0.2</v>
      </c>
      <c r="I41" s="26">
        <f>(G41*(100%-H41))*F41</f>
        <v>840</v>
      </c>
      <c r="J41" s="25">
        <f>$K$5</f>
        <v>1</v>
      </c>
      <c r="K41" s="24">
        <f>I41/$K$5</f>
        <v>840</v>
      </c>
    </row>
    <row r="42" spans="1:11" x14ac:dyDescent="0.3">
      <c r="A42" s="101" t="s">
        <v>836</v>
      </c>
      <c r="B42" s="66" t="s">
        <v>834</v>
      </c>
      <c r="C42" s="10" t="s">
        <v>71</v>
      </c>
      <c r="D42" s="57"/>
      <c r="E42" s="187" t="s">
        <v>835</v>
      </c>
      <c r="F42" s="10">
        <v>1</v>
      </c>
      <c r="G42" s="75">
        <v>1440</v>
      </c>
      <c r="H42" s="27">
        <v>0.2</v>
      </c>
      <c r="I42" s="26">
        <f>(G42*(100%-H42))*F42</f>
        <v>1152</v>
      </c>
      <c r="J42" s="25">
        <f>$K$5</f>
        <v>1</v>
      </c>
      <c r="K42" s="24">
        <f>I42/$K$5</f>
        <v>1152</v>
      </c>
    </row>
    <row r="43" spans="1:11" x14ac:dyDescent="0.3">
      <c r="A43" s="101" t="s">
        <v>836</v>
      </c>
      <c r="B43" s="65"/>
      <c r="C43" s="10"/>
      <c r="D43" s="57"/>
      <c r="E43" s="187"/>
      <c r="F43" s="10"/>
      <c r="G43" s="26"/>
      <c r="H43" s="27"/>
      <c r="I43" s="26"/>
      <c r="J43" s="25"/>
      <c r="K43" s="24"/>
    </row>
    <row r="44" spans="1:11" x14ac:dyDescent="0.3">
      <c r="A44" s="101" t="s">
        <v>836</v>
      </c>
      <c r="B44" s="66" t="s">
        <v>523</v>
      </c>
      <c r="C44" s="10" t="s">
        <v>71</v>
      </c>
      <c r="D44" s="58"/>
      <c r="E44" s="187" t="s">
        <v>522</v>
      </c>
      <c r="F44" s="10">
        <v>1</v>
      </c>
      <c r="G44" s="75">
        <v>2120</v>
      </c>
      <c r="H44" s="27">
        <v>0.2</v>
      </c>
      <c r="I44" s="26">
        <f>(G44*(100%-H44))*F44</f>
        <v>1696</v>
      </c>
      <c r="J44" s="25">
        <f>$K$5</f>
        <v>1</v>
      </c>
      <c r="K44" s="24">
        <f>I44/$K$5</f>
        <v>1696</v>
      </c>
    </row>
    <row r="45" spans="1:11" x14ac:dyDescent="0.3">
      <c r="A45" s="101" t="s">
        <v>836</v>
      </c>
      <c r="B45" s="65" t="s">
        <v>521</v>
      </c>
      <c r="C45" s="10" t="s">
        <v>71</v>
      </c>
      <c r="D45" s="57"/>
      <c r="E45" s="187" t="s">
        <v>425</v>
      </c>
      <c r="F45" s="10">
        <v>1</v>
      </c>
      <c r="G45" s="75">
        <v>3220</v>
      </c>
      <c r="H45" s="27">
        <v>0.2</v>
      </c>
      <c r="I45" s="26">
        <f>(G45*(100%-H45))*F45</f>
        <v>2576</v>
      </c>
      <c r="J45" s="25">
        <f>$K$5</f>
        <v>1</v>
      </c>
      <c r="K45" s="24">
        <f>I45/$K$5</f>
        <v>2576</v>
      </c>
    </row>
    <row r="46" spans="1:11" x14ac:dyDescent="0.3">
      <c r="A46" s="101" t="s">
        <v>836</v>
      </c>
      <c r="B46" s="65" t="s">
        <v>520</v>
      </c>
      <c r="C46" s="10" t="s">
        <v>71</v>
      </c>
      <c r="D46" s="57"/>
      <c r="E46" s="187" t="s">
        <v>519</v>
      </c>
      <c r="F46" s="10">
        <v>1</v>
      </c>
      <c r="G46" s="75">
        <v>4980</v>
      </c>
      <c r="H46" s="27">
        <v>0.2</v>
      </c>
      <c r="I46" s="26">
        <f>(G46*(100%-H46))*F46</f>
        <v>3984</v>
      </c>
      <c r="J46" s="25">
        <f>$K$5</f>
        <v>1</v>
      </c>
      <c r="K46" s="24">
        <f>I46/$K$5</f>
        <v>3984</v>
      </c>
    </row>
    <row r="47" spans="1:11" x14ac:dyDescent="0.3">
      <c r="A47" s="101" t="s">
        <v>836</v>
      </c>
      <c r="B47" s="66" t="s">
        <v>807</v>
      </c>
      <c r="C47" s="10" t="s">
        <v>71</v>
      </c>
      <c r="D47" s="58"/>
      <c r="E47" s="187" t="s">
        <v>808</v>
      </c>
      <c r="F47" s="10">
        <v>1</v>
      </c>
      <c r="G47" s="75">
        <v>1570</v>
      </c>
      <c r="H47" s="27">
        <v>0.2</v>
      </c>
      <c r="I47" s="26">
        <f>(G47*(100%-H47))*F47</f>
        <v>1256</v>
      </c>
      <c r="J47" s="25">
        <f>$K$5</f>
        <v>1</v>
      </c>
      <c r="K47" s="24">
        <f>I47/$K$5</f>
        <v>1256</v>
      </c>
    </row>
    <row r="48" spans="1:11" x14ac:dyDescent="0.3">
      <c r="A48" s="101" t="s">
        <v>836</v>
      </c>
      <c r="B48" s="66"/>
      <c r="C48" s="10"/>
      <c r="D48" s="58"/>
      <c r="E48" s="188"/>
      <c r="F48" s="10"/>
      <c r="G48" s="26"/>
      <c r="H48" s="27"/>
      <c r="I48" s="26"/>
      <c r="J48" s="25"/>
      <c r="K48" s="24"/>
    </row>
    <row r="49" spans="1:11" x14ac:dyDescent="0.3">
      <c r="A49" s="101" t="s">
        <v>836</v>
      </c>
      <c r="B49" s="65" t="s">
        <v>973</v>
      </c>
      <c r="C49" s="1" t="s">
        <v>71</v>
      </c>
      <c r="D49" s="58"/>
      <c r="E49" s="187" t="s">
        <v>518</v>
      </c>
      <c r="F49" s="10">
        <v>1</v>
      </c>
      <c r="G49" s="75">
        <v>29400</v>
      </c>
      <c r="H49" s="27">
        <v>0.25</v>
      </c>
      <c r="I49" s="26">
        <f t="shared" ref="I49:I59" si="9">(G49*(100%-H49))*F49</f>
        <v>22050</v>
      </c>
      <c r="J49" s="25">
        <f t="shared" ref="J49:J59" si="10">$K$5</f>
        <v>1</v>
      </c>
      <c r="K49" s="24">
        <f>I49/$K$5</f>
        <v>22050</v>
      </c>
    </row>
    <row r="50" spans="1:11" x14ac:dyDescent="0.3">
      <c r="A50" s="101" t="s">
        <v>836</v>
      </c>
      <c r="B50" s="65" t="s">
        <v>974</v>
      </c>
      <c r="C50" s="1" t="s">
        <v>71</v>
      </c>
      <c r="D50" s="58"/>
      <c r="E50" s="187" t="s">
        <v>702</v>
      </c>
      <c r="F50" s="10">
        <v>1</v>
      </c>
      <c r="G50" s="75">
        <v>26600</v>
      </c>
      <c r="H50" s="27">
        <v>0.25</v>
      </c>
      <c r="I50" s="26">
        <f t="shared" si="9"/>
        <v>19950</v>
      </c>
      <c r="J50" s="25">
        <f t="shared" si="10"/>
        <v>1</v>
      </c>
      <c r="K50" s="24">
        <f t="shared" ref="K50:K59" si="11">I50/$K$5</f>
        <v>19950</v>
      </c>
    </row>
    <row r="51" spans="1:11" x14ac:dyDescent="0.3">
      <c r="A51" s="101" t="s">
        <v>836</v>
      </c>
      <c r="B51" s="65" t="s">
        <v>517</v>
      </c>
      <c r="C51" s="1" t="s">
        <v>71</v>
      </c>
      <c r="D51" s="58"/>
      <c r="E51" s="187" t="s">
        <v>516</v>
      </c>
      <c r="F51" s="10">
        <v>1</v>
      </c>
      <c r="G51" s="75">
        <v>20200</v>
      </c>
      <c r="H51" s="27">
        <v>0.25</v>
      </c>
      <c r="I51" s="26">
        <f t="shared" si="9"/>
        <v>15150</v>
      </c>
      <c r="J51" s="25">
        <f t="shared" si="10"/>
        <v>1</v>
      </c>
      <c r="K51" s="24">
        <f t="shared" si="11"/>
        <v>15150</v>
      </c>
    </row>
    <row r="52" spans="1:11" x14ac:dyDescent="0.3">
      <c r="A52" s="101" t="s">
        <v>836</v>
      </c>
      <c r="B52" s="65" t="s">
        <v>515</v>
      </c>
      <c r="C52" s="1" t="s">
        <v>71</v>
      </c>
      <c r="D52" s="58"/>
      <c r="E52" s="187" t="s">
        <v>514</v>
      </c>
      <c r="F52" s="10">
        <v>1</v>
      </c>
      <c r="G52" s="75">
        <v>15700</v>
      </c>
      <c r="H52" s="27">
        <v>0.25</v>
      </c>
      <c r="I52" s="26">
        <f t="shared" si="9"/>
        <v>11775</v>
      </c>
      <c r="J52" s="25">
        <f t="shared" si="10"/>
        <v>1</v>
      </c>
      <c r="K52" s="24">
        <f t="shared" si="11"/>
        <v>11775</v>
      </c>
    </row>
    <row r="53" spans="1:11" x14ac:dyDescent="0.3">
      <c r="A53" s="101" t="s">
        <v>836</v>
      </c>
      <c r="B53" s="65" t="s">
        <v>513</v>
      </c>
      <c r="C53" s="10" t="s">
        <v>71</v>
      </c>
      <c r="D53" s="58"/>
      <c r="E53" s="187" t="s">
        <v>512</v>
      </c>
      <c r="F53" s="10">
        <v>1</v>
      </c>
      <c r="G53" s="75">
        <v>12500</v>
      </c>
      <c r="H53" s="27">
        <v>0.25</v>
      </c>
      <c r="I53" s="26">
        <f t="shared" si="9"/>
        <v>9375</v>
      </c>
      <c r="J53" s="25">
        <f t="shared" si="10"/>
        <v>1</v>
      </c>
      <c r="K53" s="24">
        <f t="shared" si="11"/>
        <v>9375</v>
      </c>
    </row>
    <row r="54" spans="1:11" x14ac:dyDescent="0.3">
      <c r="A54" s="101" t="s">
        <v>836</v>
      </c>
      <c r="B54" s="65" t="s">
        <v>511</v>
      </c>
      <c r="C54" s="1" t="s">
        <v>71</v>
      </c>
      <c r="D54" s="57"/>
      <c r="E54" s="187" t="s">
        <v>510</v>
      </c>
      <c r="F54" s="10">
        <v>1</v>
      </c>
      <c r="G54" s="75">
        <v>10200</v>
      </c>
      <c r="H54" s="27">
        <v>0.25</v>
      </c>
      <c r="I54" s="26">
        <f t="shared" si="9"/>
        <v>7650</v>
      </c>
      <c r="J54" s="25">
        <f t="shared" si="10"/>
        <v>1</v>
      </c>
      <c r="K54" s="24">
        <f t="shared" si="11"/>
        <v>7650</v>
      </c>
    </row>
    <row r="55" spans="1:11" x14ac:dyDescent="0.3">
      <c r="A55" s="101" t="s">
        <v>836</v>
      </c>
      <c r="B55" s="65" t="s">
        <v>509</v>
      </c>
      <c r="C55" s="1" t="s">
        <v>71</v>
      </c>
      <c r="D55" s="57"/>
      <c r="E55" s="187" t="s">
        <v>508</v>
      </c>
      <c r="F55" s="10">
        <v>1</v>
      </c>
      <c r="G55" s="75">
        <v>9070</v>
      </c>
      <c r="H55" s="27">
        <v>0.25</v>
      </c>
      <c r="I55" s="26">
        <f t="shared" si="9"/>
        <v>6802.5</v>
      </c>
      <c r="J55" s="25">
        <f t="shared" si="10"/>
        <v>1</v>
      </c>
      <c r="K55" s="24">
        <f t="shared" si="11"/>
        <v>6802.5</v>
      </c>
    </row>
    <row r="56" spans="1:11" x14ac:dyDescent="0.3">
      <c r="A56" s="101" t="s">
        <v>836</v>
      </c>
      <c r="B56" s="65" t="s">
        <v>585</v>
      </c>
      <c r="C56" s="10" t="s">
        <v>71</v>
      </c>
      <c r="D56" s="58"/>
      <c r="E56" s="187" t="s">
        <v>507</v>
      </c>
      <c r="F56" s="10">
        <v>1</v>
      </c>
      <c r="G56" s="75">
        <v>8600</v>
      </c>
      <c r="H56" s="27">
        <v>0.25</v>
      </c>
      <c r="I56" s="26">
        <f t="shared" si="9"/>
        <v>6450</v>
      </c>
      <c r="J56" s="25">
        <f t="shared" si="10"/>
        <v>1</v>
      </c>
      <c r="K56" s="24">
        <f t="shared" si="11"/>
        <v>6450</v>
      </c>
    </row>
    <row r="57" spans="1:11" x14ac:dyDescent="0.3">
      <c r="A57" s="101" t="s">
        <v>836</v>
      </c>
      <c r="B57" s="66" t="s">
        <v>506</v>
      </c>
      <c r="C57" s="10" t="s">
        <v>71</v>
      </c>
      <c r="D57" s="58"/>
      <c r="E57" s="187" t="s">
        <v>505</v>
      </c>
      <c r="F57" s="10">
        <v>1</v>
      </c>
      <c r="G57" s="75">
        <v>6870</v>
      </c>
      <c r="H57" s="27">
        <v>0.25</v>
      </c>
      <c r="I57" s="26">
        <f t="shared" si="9"/>
        <v>5152.5</v>
      </c>
      <c r="J57" s="25">
        <f t="shared" si="10"/>
        <v>1</v>
      </c>
      <c r="K57" s="24">
        <f t="shared" si="11"/>
        <v>5152.5</v>
      </c>
    </row>
    <row r="58" spans="1:11" x14ac:dyDescent="0.3">
      <c r="A58" s="101" t="s">
        <v>836</v>
      </c>
      <c r="B58" s="66" t="s">
        <v>504</v>
      </c>
      <c r="C58" s="10" t="s">
        <v>71</v>
      </c>
      <c r="D58" s="58"/>
      <c r="E58" s="187" t="s">
        <v>503</v>
      </c>
      <c r="F58" s="10">
        <v>1</v>
      </c>
      <c r="G58" s="75">
        <v>6230</v>
      </c>
      <c r="H58" s="27">
        <v>0.25</v>
      </c>
      <c r="I58" s="26">
        <f t="shared" si="9"/>
        <v>4672.5</v>
      </c>
      <c r="J58" s="25">
        <f t="shared" si="10"/>
        <v>1</v>
      </c>
      <c r="K58" s="24">
        <f t="shared" si="11"/>
        <v>4672.5</v>
      </c>
    </row>
    <row r="59" spans="1:11" x14ac:dyDescent="0.3">
      <c r="A59" s="101" t="s">
        <v>836</v>
      </c>
      <c r="B59" s="65" t="s">
        <v>502</v>
      </c>
      <c r="C59" s="10" t="s">
        <v>71</v>
      </c>
      <c r="D59" s="58"/>
      <c r="E59" s="187" t="s">
        <v>500</v>
      </c>
      <c r="F59" s="10">
        <v>1</v>
      </c>
      <c r="G59" s="75">
        <v>5760</v>
      </c>
      <c r="H59" s="27">
        <v>0.25</v>
      </c>
      <c r="I59" s="26">
        <f t="shared" si="9"/>
        <v>4320</v>
      </c>
      <c r="J59" s="25">
        <f t="shared" si="10"/>
        <v>1</v>
      </c>
      <c r="K59" s="24">
        <f t="shared" si="11"/>
        <v>4320</v>
      </c>
    </row>
    <row r="60" spans="1:11" x14ac:dyDescent="0.3">
      <c r="A60" s="101" t="s">
        <v>836</v>
      </c>
      <c r="B60" s="65"/>
      <c r="C60" s="1"/>
      <c r="D60" s="58"/>
      <c r="E60" s="188"/>
      <c r="F60" s="10"/>
      <c r="G60" s="26"/>
      <c r="H60" s="27"/>
      <c r="I60" s="26"/>
      <c r="J60" s="25"/>
      <c r="K60" s="24"/>
    </row>
    <row r="61" spans="1:11" x14ac:dyDescent="0.3">
      <c r="A61" s="101" t="s">
        <v>836</v>
      </c>
      <c r="B61" s="65" t="s">
        <v>501</v>
      </c>
      <c r="C61" s="10" t="s">
        <v>71</v>
      </c>
      <c r="D61" s="159" t="s">
        <v>977</v>
      </c>
      <c r="E61" s="187" t="s">
        <v>978</v>
      </c>
      <c r="F61" s="10">
        <v>1</v>
      </c>
      <c r="G61" s="75">
        <v>11300</v>
      </c>
      <c r="H61" s="27">
        <v>0.25</v>
      </c>
      <c r="I61" s="26">
        <f>(G61*(100%-H61))*F61</f>
        <v>8475</v>
      </c>
      <c r="J61" s="25">
        <f>$K$5</f>
        <v>1</v>
      </c>
      <c r="K61" s="24">
        <f>I61/$K$5</f>
        <v>8475</v>
      </c>
    </row>
    <row r="62" spans="1:11" x14ac:dyDescent="0.3">
      <c r="A62" s="101" t="s">
        <v>836</v>
      </c>
      <c r="B62" s="65" t="s">
        <v>501</v>
      </c>
      <c r="C62" s="10" t="s">
        <v>71</v>
      </c>
      <c r="D62" s="159" t="s">
        <v>980</v>
      </c>
      <c r="E62" s="187" t="s">
        <v>979</v>
      </c>
      <c r="F62" s="10">
        <v>1</v>
      </c>
      <c r="G62" s="75">
        <v>7840</v>
      </c>
      <c r="H62" s="27">
        <v>0.25</v>
      </c>
      <c r="I62" s="26">
        <f>(G62*(100%-H62))*F62</f>
        <v>5880</v>
      </c>
      <c r="J62" s="25">
        <f>$K$5</f>
        <v>1</v>
      </c>
      <c r="K62" s="24">
        <f>I62/$K$5</f>
        <v>5880</v>
      </c>
    </row>
    <row r="63" spans="1:11" x14ac:dyDescent="0.3">
      <c r="A63" s="101" t="s">
        <v>836</v>
      </c>
      <c r="B63" s="65" t="s">
        <v>501</v>
      </c>
      <c r="C63" s="10" t="s">
        <v>71</v>
      </c>
      <c r="D63" s="159" t="s">
        <v>983</v>
      </c>
      <c r="E63" s="187" t="s">
        <v>984</v>
      </c>
      <c r="F63" s="10">
        <v>1</v>
      </c>
      <c r="G63" s="75">
        <v>5730</v>
      </c>
      <c r="H63" s="27">
        <v>0.25</v>
      </c>
      <c r="I63" s="26">
        <f>(G63*(100%-H63))*F63</f>
        <v>4297.5</v>
      </c>
      <c r="J63" s="25">
        <f>$K$5</f>
        <v>1</v>
      </c>
      <c r="K63" s="24">
        <f>I63/$K$5</f>
        <v>4297.5</v>
      </c>
    </row>
    <row r="64" spans="1:11" x14ac:dyDescent="0.3">
      <c r="A64" s="101" t="s">
        <v>836</v>
      </c>
      <c r="B64" s="65" t="s">
        <v>501</v>
      </c>
      <c r="C64" s="10" t="s">
        <v>71</v>
      </c>
      <c r="D64" s="159" t="s">
        <v>981</v>
      </c>
      <c r="E64" s="187" t="s">
        <v>982</v>
      </c>
      <c r="F64" s="10">
        <v>1</v>
      </c>
      <c r="G64" s="75">
        <v>4220</v>
      </c>
      <c r="H64" s="27">
        <v>0.25</v>
      </c>
      <c r="I64" s="26">
        <f>(G64*(100%-H64))*F64</f>
        <v>3165</v>
      </c>
      <c r="J64" s="25">
        <f>$K$5</f>
        <v>1</v>
      </c>
      <c r="K64" s="24">
        <f>I64/$K$5</f>
        <v>3165</v>
      </c>
    </row>
    <row r="65" spans="1:14" x14ac:dyDescent="0.3">
      <c r="A65" s="101" t="s">
        <v>836</v>
      </c>
      <c r="B65" s="65" t="s">
        <v>501</v>
      </c>
      <c r="C65" s="10" t="s">
        <v>71</v>
      </c>
      <c r="D65" s="159" t="s">
        <v>976</v>
      </c>
      <c r="E65" s="187" t="s">
        <v>975</v>
      </c>
      <c r="F65" s="10">
        <v>1</v>
      </c>
      <c r="G65" s="75">
        <v>1850</v>
      </c>
      <c r="H65" s="27">
        <v>0.25</v>
      </c>
      <c r="I65" s="26">
        <f>(G65*(100%-H65))*F65</f>
        <v>1387.5</v>
      </c>
      <c r="J65" s="25">
        <f>$K$5</f>
        <v>1</v>
      </c>
      <c r="K65" s="24">
        <f>I65/$K$5</f>
        <v>1387.5</v>
      </c>
    </row>
    <row r="66" spans="1:14" x14ac:dyDescent="0.3">
      <c r="A66" s="101" t="s">
        <v>836</v>
      </c>
      <c r="B66" s="65"/>
      <c r="C66" s="10"/>
      <c r="D66" s="58"/>
      <c r="E66" s="188"/>
      <c r="F66" s="10"/>
      <c r="G66" s="26"/>
      <c r="H66" s="27"/>
      <c r="I66" s="26"/>
      <c r="J66" s="25"/>
      <c r="K66" s="24"/>
    </row>
    <row r="67" spans="1:14" x14ac:dyDescent="0.3">
      <c r="A67" s="101" t="s">
        <v>836</v>
      </c>
      <c r="B67" s="65" t="s">
        <v>499</v>
      </c>
      <c r="C67" s="10" t="s">
        <v>71</v>
      </c>
      <c r="D67" s="58"/>
      <c r="E67" s="187" t="s">
        <v>498</v>
      </c>
      <c r="F67" s="10">
        <v>1</v>
      </c>
      <c r="G67" s="75">
        <v>525</v>
      </c>
      <c r="H67" s="27">
        <v>0.25</v>
      </c>
      <c r="I67" s="26">
        <f>(G67*(100%-H67))*F67</f>
        <v>393.75</v>
      </c>
      <c r="J67" s="25">
        <f>$K$5</f>
        <v>1</v>
      </c>
      <c r="K67" s="24">
        <f>I67/$K$5</f>
        <v>393.75</v>
      </c>
    </row>
    <row r="68" spans="1:14" x14ac:dyDescent="0.3">
      <c r="A68" s="101" t="s">
        <v>836</v>
      </c>
      <c r="B68" s="65" t="s">
        <v>497</v>
      </c>
      <c r="C68" s="10" t="s">
        <v>71</v>
      </c>
      <c r="D68" s="58"/>
      <c r="E68" s="187" t="s">
        <v>496</v>
      </c>
      <c r="F68" s="10">
        <v>1</v>
      </c>
      <c r="G68" s="75">
        <v>315</v>
      </c>
      <c r="H68" s="27">
        <v>0.25</v>
      </c>
      <c r="I68" s="26">
        <f>(G68*(100%-H68))*F68</f>
        <v>236.25</v>
      </c>
      <c r="J68" s="25">
        <f>$K$5</f>
        <v>1</v>
      </c>
      <c r="K68" s="24">
        <f>I68/$K$5</f>
        <v>236.25</v>
      </c>
    </row>
    <row r="69" spans="1:14" x14ac:dyDescent="0.3">
      <c r="A69" s="101" t="s">
        <v>836</v>
      </c>
      <c r="B69" s="65"/>
      <c r="C69" s="10"/>
      <c r="D69" s="58"/>
      <c r="E69" s="188"/>
      <c r="F69" s="10"/>
      <c r="G69" s="26"/>
      <c r="H69" s="27"/>
      <c r="I69" s="26"/>
      <c r="J69" s="25"/>
      <c r="K69" s="24"/>
    </row>
    <row r="70" spans="1:14" x14ac:dyDescent="0.3">
      <c r="A70" s="101" t="s">
        <v>836</v>
      </c>
      <c r="B70" s="65" t="s">
        <v>495</v>
      </c>
      <c r="C70" s="1" t="s">
        <v>71</v>
      </c>
      <c r="D70" s="58"/>
      <c r="E70" s="187" t="s">
        <v>494</v>
      </c>
      <c r="F70" s="10">
        <v>1</v>
      </c>
      <c r="G70" s="75">
        <v>329000</v>
      </c>
      <c r="H70" s="27">
        <v>0.25</v>
      </c>
      <c r="I70" s="26">
        <f t="shared" ref="I70:I86" si="12">(G70*(100%-H70))*F70</f>
        <v>246750</v>
      </c>
      <c r="J70" s="25">
        <f t="shared" ref="J70:J86" si="13">$K$5</f>
        <v>1</v>
      </c>
      <c r="K70" s="24">
        <f t="shared" ref="K70:K86" si="14">I70/$K$5</f>
        <v>246750</v>
      </c>
    </row>
    <row r="71" spans="1:14" x14ac:dyDescent="0.3">
      <c r="A71" s="101" t="s">
        <v>836</v>
      </c>
      <c r="B71" s="65" t="s">
        <v>493</v>
      </c>
      <c r="C71" s="1" t="s">
        <v>71</v>
      </c>
      <c r="D71" s="58"/>
      <c r="E71" s="187" t="s">
        <v>492</v>
      </c>
      <c r="F71" s="10">
        <v>1</v>
      </c>
      <c r="G71" s="75">
        <v>226000</v>
      </c>
      <c r="H71" s="27">
        <v>0.25</v>
      </c>
      <c r="I71" s="26">
        <f t="shared" si="12"/>
        <v>169500</v>
      </c>
      <c r="J71" s="25">
        <f t="shared" si="13"/>
        <v>1</v>
      </c>
      <c r="K71" s="24">
        <f t="shared" si="14"/>
        <v>169500</v>
      </c>
    </row>
    <row r="72" spans="1:14" x14ac:dyDescent="0.3">
      <c r="A72" s="101" t="s">
        <v>836</v>
      </c>
      <c r="B72" s="65" t="s">
        <v>491</v>
      </c>
      <c r="C72" s="1" t="s">
        <v>71</v>
      </c>
      <c r="D72" s="57"/>
      <c r="E72" s="187" t="s">
        <v>490</v>
      </c>
      <c r="F72" s="10">
        <v>1</v>
      </c>
      <c r="G72" s="75">
        <v>154000</v>
      </c>
      <c r="H72" s="27">
        <v>0.25</v>
      </c>
      <c r="I72" s="26">
        <f t="shared" si="12"/>
        <v>115500</v>
      </c>
      <c r="J72" s="25">
        <f t="shared" si="13"/>
        <v>1</v>
      </c>
      <c r="K72" s="24">
        <f t="shared" si="14"/>
        <v>115500</v>
      </c>
    </row>
    <row r="73" spans="1:14" x14ac:dyDescent="0.3">
      <c r="A73" s="101" t="s">
        <v>836</v>
      </c>
      <c r="B73" s="65" t="s">
        <v>489</v>
      </c>
      <c r="C73" s="1" t="s">
        <v>71</v>
      </c>
      <c r="D73" s="57"/>
      <c r="E73" s="187" t="s">
        <v>488</v>
      </c>
      <c r="F73" s="10">
        <v>1</v>
      </c>
      <c r="G73" s="177">
        <v>100000</v>
      </c>
      <c r="H73" s="27">
        <v>0.25</v>
      </c>
      <c r="I73" s="26">
        <f t="shared" si="12"/>
        <v>75000</v>
      </c>
      <c r="J73" s="25">
        <f t="shared" si="13"/>
        <v>1</v>
      </c>
      <c r="K73" s="24">
        <f t="shared" si="14"/>
        <v>75000</v>
      </c>
      <c r="M73" s="70"/>
      <c r="N73" s="70"/>
    </row>
    <row r="74" spans="1:14" x14ac:dyDescent="0.3">
      <c r="A74" s="101" t="s">
        <v>836</v>
      </c>
      <c r="B74" s="65" t="s">
        <v>487</v>
      </c>
      <c r="C74" s="1" t="s">
        <v>71</v>
      </c>
      <c r="D74" s="57"/>
      <c r="E74" s="187" t="s">
        <v>486</v>
      </c>
      <c r="F74" s="10">
        <v>1</v>
      </c>
      <c r="G74" s="75">
        <v>59900</v>
      </c>
      <c r="H74" s="27">
        <v>0.25</v>
      </c>
      <c r="I74" s="26">
        <f t="shared" si="12"/>
        <v>44925</v>
      </c>
      <c r="J74" s="25">
        <f t="shared" si="13"/>
        <v>1</v>
      </c>
      <c r="K74" s="24">
        <f t="shared" si="14"/>
        <v>44925</v>
      </c>
    </row>
    <row r="75" spans="1:14" x14ac:dyDescent="0.3">
      <c r="A75" s="101" t="s">
        <v>836</v>
      </c>
      <c r="B75" s="65" t="s">
        <v>485</v>
      </c>
      <c r="C75" s="1" t="s">
        <v>71</v>
      </c>
      <c r="D75" s="57"/>
      <c r="E75" s="187" t="s">
        <v>484</v>
      </c>
      <c r="F75" s="10">
        <v>1</v>
      </c>
      <c r="G75" s="75">
        <v>51700</v>
      </c>
      <c r="H75" s="27">
        <v>0.25</v>
      </c>
      <c r="I75" s="26">
        <f t="shared" si="12"/>
        <v>38775</v>
      </c>
      <c r="J75" s="25">
        <f t="shared" si="13"/>
        <v>1</v>
      </c>
      <c r="K75" s="24">
        <f t="shared" si="14"/>
        <v>38775</v>
      </c>
    </row>
    <row r="76" spans="1:14" x14ac:dyDescent="0.3">
      <c r="A76" s="101" t="s">
        <v>836</v>
      </c>
      <c r="B76" s="65" t="s">
        <v>609</v>
      </c>
      <c r="C76" s="1" t="s">
        <v>71</v>
      </c>
      <c r="D76" s="57"/>
      <c r="E76" s="187" t="s">
        <v>610</v>
      </c>
      <c r="F76" s="10">
        <v>1</v>
      </c>
      <c r="G76" s="75">
        <v>42600</v>
      </c>
      <c r="H76" s="27">
        <v>0.25</v>
      </c>
      <c r="I76" s="26">
        <f t="shared" si="12"/>
        <v>31950</v>
      </c>
      <c r="J76" s="25">
        <f t="shared" si="13"/>
        <v>1</v>
      </c>
      <c r="K76" s="24">
        <f t="shared" si="14"/>
        <v>31950</v>
      </c>
    </row>
    <row r="77" spans="1:14" x14ac:dyDescent="0.3">
      <c r="A77" s="101" t="s">
        <v>836</v>
      </c>
      <c r="B77" s="65" t="s">
        <v>483</v>
      </c>
      <c r="C77" s="1" t="s">
        <v>71</v>
      </c>
      <c r="D77" s="57"/>
      <c r="E77" s="187" t="s">
        <v>482</v>
      </c>
      <c r="F77" s="10">
        <v>1</v>
      </c>
      <c r="G77" s="75">
        <v>33100</v>
      </c>
      <c r="H77" s="27">
        <v>0.25</v>
      </c>
      <c r="I77" s="26">
        <f t="shared" si="12"/>
        <v>24825</v>
      </c>
      <c r="J77" s="25">
        <f t="shared" si="13"/>
        <v>1</v>
      </c>
      <c r="K77" s="24">
        <f t="shared" si="14"/>
        <v>24825</v>
      </c>
    </row>
    <row r="78" spans="1:14" x14ac:dyDescent="0.3">
      <c r="A78" s="101" t="s">
        <v>836</v>
      </c>
      <c r="B78" s="65" t="s">
        <v>481</v>
      </c>
      <c r="C78" s="1" t="s">
        <v>71</v>
      </c>
      <c r="D78" s="57"/>
      <c r="E78" s="187" t="s">
        <v>480</v>
      </c>
      <c r="F78" s="10">
        <v>1</v>
      </c>
      <c r="G78" s="75">
        <v>24800</v>
      </c>
      <c r="H78" s="27">
        <v>0.25</v>
      </c>
      <c r="I78" s="26">
        <f t="shared" si="12"/>
        <v>18600</v>
      </c>
      <c r="J78" s="25">
        <f t="shared" si="13"/>
        <v>1</v>
      </c>
      <c r="K78" s="24">
        <f t="shared" si="14"/>
        <v>18600</v>
      </c>
    </row>
    <row r="79" spans="1:14" x14ac:dyDescent="0.3">
      <c r="A79" s="101" t="s">
        <v>836</v>
      </c>
      <c r="B79" s="65" t="s">
        <v>479</v>
      </c>
      <c r="C79" s="1" t="s">
        <v>71</v>
      </c>
      <c r="D79" s="57"/>
      <c r="E79" s="187" t="s">
        <v>478</v>
      </c>
      <c r="F79" s="10">
        <v>1</v>
      </c>
      <c r="G79" s="75">
        <v>19200</v>
      </c>
      <c r="H79" s="27">
        <v>0.25</v>
      </c>
      <c r="I79" s="26">
        <f t="shared" si="12"/>
        <v>14400</v>
      </c>
      <c r="J79" s="25">
        <f t="shared" si="13"/>
        <v>1</v>
      </c>
      <c r="K79" s="24">
        <f t="shared" si="14"/>
        <v>14400</v>
      </c>
    </row>
    <row r="80" spans="1:14" x14ac:dyDescent="0.3">
      <c r="A80" s="101" t="s">
        <v>836</v>
      </c>
      <c r="B80" s="65" t="s">
        <v>479</v>
      </c>
      <c r="C80" s="1" t="s">
        <v>71</v>
      </c>
      <c r="D80" s="57"/>
      <c r="E80" s="187" t="s">
        <v>988</v>
      </c>
      <c r="F80" s="10">
        <v>1</v>
      </c>
      <c r="G80" s="75">
        <v>16300</v>
      </c>
      <c r="H80" s="27">
        <v>0.25</v>
      </c>
      <c r="I80" s="26">
        <f t="shared" ref="I80" si="15">(G80*(100%-H80))*F80</f>
        <v>12225</v>
      </c>
      <c r="J80" s="25">
        <f t="shared" si="13"/>
        <v>1</v>
      </c>
      <c r="K80" s="24">
        <f t="shared" ref="K80" si="16">I80/$K$5</f>
        <v>12225</v>
      </c>
    </row>
    <row r="81" spans="1:11" x14ac:dyDescent="0.3">
      <c r="A81" s="101" t="s">
        <v>836</v>
      </c>
      <c r="B81" s="65" t="s">
        <v>477</v>
      </c>
      <c r="C81" s="1" t="s">
        <v>71</v>
      </c>
      <c r="D81" s="57"/>
      <c r="E81" s="187" t="s">
        <v>476</v>
      </c>
      <c r="F81" s="10">
        <v>1</v>
      </c>
      <c r="G81" s="75">
        <v>13600</v>
      </c>
      <c r="H81" s="27">
        <v>0.25</v>
      </c>
      <c r="I81" s="26">
        <f t="shared" si="12"/>
        <v>10200</v>
      </c>
      <c r="J81" s="25">
        <f t="shared" si="13"/>
        <v>1</v>
      </c>
      <c r="K81" s="24">
        <f t="shared" si="14"/>
        <v>10200</v>
      </c>
    </row>
    <row r="82" spans="1:11" x14ac:dyDescent="0.3">
      <c r="A82" s="101" t="s">
        <v>836</v>
      </c>
      <c r="B82" s="65" t="s">
        <v>662</v>
      </c>
      <c r="C82" s="1" t="s">
        <v>71</v>
      </c>
      <c r="D82" s="57"/>
      <c r="E82" s="187" t="s">
        <v>671</v>
      </c>
      <c r="F82" s="10">
        <v>1</v>
      </c>
      <c r="G82" s="75">
        <v>10900</v>
      </c>
      <c r="H82" s="27">
        <v>0.25</v>
      </c>
      <c r="I82" s="26">
        <f t="shared" si="12"/>
        <v>8175</v>
      </c>
      <c r="J82" s="25">
        <f t="shared" si="13"/>
        <v>1</v>
      </c>
      <c r="K82" s="24">
        <f t="shared" si="14"/>
        <v>8175</v>
      </c>
    </row>
    <row r="83" spans="1:11" x14ac:dyDescent="0.3">
      <c r="A83" s="101" t="s">
        <v>836</v>
      </c>
      <c r="B83" s="65" t="s">
        <v>663</v>
      </c>
      <c r="C83" s="1" t="s">
        <v>71</v>
      </c>
      <c r="D83" s="57"/>
      <c r="E83" s="187" t="s">
        <v>670</v>
      </c>
      <c r="F83" s="10">
        <v>1</v>
      </c>
      <c r="G83" s="75">
        <v>9230</v>
      </c>
      <c r="H83" s="27">
        <v>0.25</v>
      </c>
      <c r="I83" s="26">
        <f t="shared" si="12"/>
        <v>6922.5</v>
      </c>
      <c r="J83" s="25">
        <f t="shared" si="13"/>
        <v>1</v>
      </c>
      <c r="K83" s="24">
        <f t="shared" si="14"/>
        <v>6922.5</v>
      </c>
    </row>
    <row r="84" spans="1:11" x14ac:dyDescent="0.3">
      <c r="A84" s="101" t="s">
        <v>836</v>
      </c>
      <c r="B84" s="99" t="s">
        <v>664</v>
      </c>
      <c r="C84" s="100" t="s">
        <v>71</v>
      </c>
      <c r="D84" s="98"/>
      <c r="E84" s="189" t="s">
        <v>669</v>
      </c>
      <c r="F84" s="74">
        <v>1</v>
      </c>
      <c r="G84" s="75">
        <v>8050</v>
      </c>
      <c r="H84" s="76">
        <v>0.25</v>
      </c>
      <c r="I84" s="75">
        <f t="shared" si="12"/>
        <v>6037.5</v>
      </c>
      <c r="J84" s="77">
        <f t="shared" si="13"/>
        <v>1</v>
      </c>
      <c r="K84" s="78">
        <f t="shared" si="14"/>
        <v>6037.5</v>
      </c>
    </row>
    <row r="85" spans="1:11" x14ac:dyDescent="0.3">
      <c r="A85" s="101" t="s">
        <v>836</v>
      </c>
      <c r="B85" s="65" t="s">
        <v>665</v>
      </c>
      <c r="C85" s="1" t="s">
        <v>71</v>
      </c>
      <c r="D85" s="57"/>
      <c r="E85" s="187" t="s">
        <v>668</v>
      </c>
      <c r="F85" s="10">
        <v>1</v>
      </c>
      <c r="G85" s="75">
        <v>7570</v>
      </c>
      <c r="H85" s="27">
        <v>0.25</v>
      </c>
      <c r="I85" s="26">
        <f t="shared" si="12"/>
        <v>5677.5</v>
      </c>
      <c r="J85" s="25">
        <f t="shared" si="13"/>
        <v>1</v>
      </c>
      <c r="K85" s="24">
        <f t="shared" si="14"/>
        <v>5677.5</v>
      </c>
    </row>
    <row r="86" spans="1:11" x14ac:dyDescent="0.3">
      <c r="A86" s="101" t="s">
        <v>836</v>
      </c>
      <c r="B86" s="65" t="s">
        <v>666</v>
      </c>
      <c r="C86" s="1" t="s">
        <v>71</v>
      </c>
      <c r="D86" s="57"/>
      <c r="E86" s="187" t="s">
        <v>667</v>
      </c>
      <c r="F86" s="10">
        <v>1</v>
      </c>
      <c r="G86" s="75">
        <v>6980</v>
      </c>
      <c r="H86" s="27">
        <v>0.25</v>
      </c>
      <c r="I86" s="26">
        <f t="shared" si="12"/>
        <v>5235</v>
      </c>
      <c r="J86" s="25">
        <f t="shared" si="13"/>
        <v>1</v>
      </c>
      <c r="K86" s="24">
        <f t="shared" si="14"/>
        <v>5235</v>
      </c>
    </row>
    <row r="87" spans="1:11" x14ac:dyDescent="0.3">
      <c r="A87" s="101" t="s">
        <v>836</v>
      </c>
      <c r="B87" s="65"/>
      <c r="C87" s="1"/>
      <c r="D87" s="57"/>
      <c r="E87" s="187"/>
      <c r="F87" s="10"/>
      <c r="G87" s="26"/>
      <c r="H87" s="27"/>
      <c r="I87" s="26"/>
      <c r="J87" s="25"/>
      <c r="K87" s="24"/>
    </row>
    <row r="88" spans="1:11" x14ac:dyDescent="0.3">
      <c r="A88" s="101" t="s">
        <v>836</v>
      </c>
      <c r="B88" s="65" t="s">
        <v>475</v>
      </c>
      <c r="C88" s="1" t="s">
        <v>71</v>
      </c>
      <c r="D88" s="1"/>
      <c r="E88" s="187" t="s">
        <v>474</v>
      </c>
      <c r="F88" s="10">
        <v>1</v>
      </c>
      <c r="G88" s="75">
        <v>22000</v>
      </c>
      <c r="H88" s="27">
        <v>0.25</v>
      </c>
      <c r="I88" s="26">
        <f t="shared" ref="I88:I93" si="17">(G88*(100%-H88))*F88</f>
        <v>16500</v>
      </c>
      <c r="J88" s="25">
        <f t="shared" ref="J88:J93" si="18">$K$5</f>
        <v>1</v>
      </c>
      <c r="K88" s="24">
        <f t="shared" ref="K88:K93" si="19">I88/$K$5</f>
        <v>16500</v>
      </c>
    </row>
    <row r="89" spans="1:11" x14ac:dyDescent="0.3">
      <c r="A89" s="101" t="s">
        <v>836</v>
      </c>
      <c r="B89" s="65" t="s">
        <v>473</v>
      </c>
      <c r="C89" s="1" t="s">
        <v>71</v>
      </c>
      <c r="D89" s="57"/>
      <c r="E89" s="187" t="s">
        <v>472</v>
      </c>
      <c r="F89" s="10">
        <v>1</v>
      </c>
      <c r="G89" s="75">
        <v>63800</v>
      </c>
      <c r="H89" s="27">
        <v>0.25</v>
      </c>
      <c r="I89" s="26">
        <f t="shared" si="17"/>
        <v>47850</v>
      </c>
      <c r="J89" s="25">
        <f t="shared" si="18"/>
        <v>1</v>
      </c>
      <c r="K89" s="24">
        <f t="shared" si="19"/>
        <v>47850</v>
      </c>
    </row>
    <row r="90" spans="1:11" x14ac:dyDescent="0.3">
      <c r="A90" s="101" t="s">
        <v>836</v>
      </c>
      <c r="B90" s="65" t="s">
        <v>471</v>
      </c>
      <c r="C90" s="1" t="s">
        <v>71</v>
      </c>
      <c r="D90" s="57"/>
      <c r="E90" s="187" t="s">
        <v>470</v>
      </c>
      <c r="F90" s="10">
        <v>1</v>
      </c>
      <c r="G90" s="75">
        <v>30100</v>
      </c>
      <c r="H90" s="27">
        <v>0.25</v>
      </c>
      <c r="I90" s="26">
        <f t="shared" si="17"/>
        <v>22575</v>
      </c>
      <c r="J90" s="25">
        <f t="shared" si="18"/>
        <v>1</v>
      </c>
      <c r="K90" s="24">
        <f t="shared" si="19"/>
        <v>22575</v>
      </c>
    </row>
    <row r="91" spans="1:11" x14ac:dyDescent="0.3">
      <c r="A91" s="101" t="s">
        <v>836</v>
      </c>
      <c r="B91" s="65" t="s">
        <v>469</v>
      </c>
      <c r="C91" s="1" t="s">
        <v>71</v>
      </c>
      <c r="D91" s="57"/>
      <c r="E91" s="187" t="s">
        <v>468</v>
      </c>
      <c r="F91" s="10">
        <v>1</v>
      </c>
      <c r="G91" s="75">
        <v>85100</v>
      </c>
      <c r="H91" s="27">
        <v>0.25</v>
      </c>
      <c r="I91" s="26">
        <f t="shared" si="17"/>
        <v>63825</v>
      </c>
      <c r="J91" s="25">
        <f t="shared" si="18"/>
        <v>1</v>
      </c>
      <c r="K91" s="24">
        <f t="shared" si="19"/>
        <v>63825</v>
      </c>
    </row>
    <row r="92" spans="1:11" x14ac:dyDescent="0.3">
      <c r="A92" s="101" t="s">
        <v>836</v>
      </c>
      <c r="B92" s="65" t="s">
        <v>467</v>
      </c>
      <c r="C92" s="1" t="s">
        <v>71</v>
      </c>
      <c r="D92" s="57"/>
      <c r="E92" s="187" t="s">
        <v>466</v>
      </c>
      <c r="F92" s="10">
        <v>1</v>
      </c>
      <c r="G92" s="75">
        <v>49500</v>
      </c>
      <c r="H92" s="27">
        <v>0.25</v>
      </c>
      <c r="I92" s="26">
        <f t="shared" si="17"/>
        <v>37125</v>
      </c>
      <c r="J92" s="25">
        <f t="shared" si="18"/>
        <v>1</v>
      </c>
      <c r="K92" s="24">
        <f t="shared" si="19"/>
        <v>37125</v>
      </c>
    </row>
    <row r="93" spans="1:11" x14ac:dyDescent="0.3">
      <c r="A93" s="101" t="s">
        <v>836</v>
      </c>
      <c r="B93" s="65" t="s">
        <v>465</v>
      </c>
      <c r="C93" s="1" t="s">
        <v>71</v>
      </c>
      <c r="D93" s="57"/>
      <c r="E93" s="187" t="s">
        <v>464</v>
      </c>
      <c r="F93" s="10">
        <v>1</v>
      </c>
      <c r="G93" s="75">
        <v>17700</v>
      </c>
      <c r="H93" s="27">
        <v>0.25</v>
      </c>
      <c r="I93" s="26">
        <f t="shared" si="17"/>
        <v>13275</v>
      </c>
      <c r="J93" s="25">
        <f t="shared" si="18"/>
        <v>1</v>
      </c>
      <c r="K93" s="24">
        <f t="shared" si="19"/>
        <v>13275</v>
      </c>
    </row>
    <row r="94" spans="1:11" x14ac:dyDescent="0.3">
      <c r="A94" s="101" t="s">
        <v>836</v>
      </c>
      <c r="B94" s="65"/>
      <c r="C94" s="14"/>
      <c r="E94" s="190"/>
      <c r="F94" s="10"/>
      <c r="G94" s="26"/>
      <c r="H94" s="27"/>
      <c r="I94" s="26"/>
      <c r="J94" s="25"/>
      <c r="K94" s="24"/>
    </row>
    <row r="95" spans="1:11" x14ac:dyDescent="0.3">
      <c r="A95" s="101" t="s">
        <v>836</v>
      </c>
      <c r="B95" s="65" t="s">
        <v>463</v>
      </c>
      <c r="C95" s="1" t="s">
        <v>71</v>
      </c>
      <c r="D95" s="58"/>
      <c r="E95" s="187" t="s">
        <v>462</v>
      </c>
      <c r="F95" s="10">
        <v>1</v>
      </c>
      <c r="G95" s="75">
        <v>6800</v>
      </c>
      <c r="H95" s="27">
        <v>0.25</v>
      </c>
      <c r="I95" s="26">
        <f>(G95*(100%-H95))*F95</f>
        <v>5100</v>
      </c>
      <c r="J95" s="25">
        <f>$K$5</f>
        <v>1</v>
      </c>
      <c r="K95" s="24">
        <f>I95/$K$5</f>
        <v>5100</v>
      </c>
    </row>
    <row r="96" spans="1:11" x14ac:dyDescent="0.3">
      <c r="A96" s="101" t="s">
        <v>836</v>
      </c>
      <c r="B96" s="65" t="s">
        <v>461</v>
      </c>
      <c r="C96" s="1" t="s">
        <v>71</v>
      </c>
      <c r="D96" s="58"/>
      <c r="E96" s="187" t="s">
        <v>460</v>
      </c>
      <c r="F96" s="10">
        <v>1</v>
      </c>
      <c r="G96" s="75">
        <v>7030</v>
      </c>
      <c r="H96" s="27">
        <v>0.25</v>
      </c>
      <c r="I96" s="26">
        <f>(G96*(100%-H96))*F96</f>
        <v>5272.5</v>
      </c>
      <c r="J96" s="25">
        <f>$K$5</f>
        <v>1</v>
      </c>
      <c r="K96" s="24">
        <f>I96/$K$5</f>
        <v>5272.5</v>
      </c>
    </row>
    <row r="97" spans="1:11" x14ac:dyDescent="0.3">
      <c r="A97" s="101" t="s">
        <v>836</v>
      </c>
      <c r="B97" s="65" t="s">
        <v>459</v>
      </c>
      <c r="C97" s="1" t="s">
        <v>71</v>
      </c>
      <c r="D97" s="58"/>
      <c r="E97" s="187" t="s">
        <v>458</v>
      </c>
      <c r="F97" s="10">
        <v>1</v>
      </c>
      <c r="G97" s="75">
        <v>1110</v>
      </c>
      <c r="H97" s="27">
        <v>0.25</v>
      </c>
      <c r="I97" s="26">
        <f>(G97*(100%-H97))*F97</f>
        <v>832.5</v>
      </c>
      <c r="J97" s="25">
        <f>$K$5</f>
        <v>1</v>
      </c>
      <c r="K97" s="24">
        <f>I97/$K$5</f>
        <v>832.5</v>
      </c>
    </row>
    <row r="98" spans="1:11" x14ac:dyDescent="0.3">
      <c r="A98" s="101" t="s">
        <v>836</v>
      </c>
      <c r="B98" s="65" t="s">
        <v>457</v>
      </c>
      <c r="C98" s="1" t="s">
        <v>71</v>
      </c>
      <c r="D98" s="57"/>
      <c r="E98" s="187" t="s">
        <v>456</v>
      </c>
      <c r="F98" s="10">
        <v>1</v>
      </c>
      <c r="G98" s="75">
        <v>4390</v>
      </c>
      <c r="H98" s="27">
        <v>0.25</v>
      </c>
      <c r="I98" s="26">
        <f>(G98*(100%-H98))*F98</f>
        <v>3292.5</v>
      </c>
      <c r="J98" s="25">
        <f>$K$5</f>
        <v>1</v>
      </c>
      <c r="K98" s="24">
        <f>I98/$K$5</f>
        <v>3292.5</v>
      </c>
    </row>
    <row r="99" spans="1:11" x14ac:dyDescent="0.3">
      <c r="A99" s="101" t="s">
        <v>836</v>
      </c>
      <c r="B99" s="65" t="s">
        <v>455</v>
      </c>
      <c r="C99" s="1" t="s">
        <v>71</v>
      </c>
      <c r="D99" s="58"/>
      <c r="E99" s="187" t="s">
        <v>454</v>
      </c>
      <c r="F99" s="10">
        <v>1</v>
      </c>
      <c r="G99" s="75">
        <v>887</v>
      </c>
      <c r="H99" s="27">
        <v>0.25</v>
      </c>
      <c r="I99" s="26">
        <f>(G99*(100%-H99))*F99</f>
        <v>665.25</v>
      </c>
      <c r="J99" s="25">
        <f>$K$5</f>
        <v>1</v>
      </c>
      <c r="K99" s="24">
        <f>I99/$K$5</f>
        <v>665.25</v>
      </c>
    </row>
    <row r="100" spans="1:11" x14ac:dyDescent="0.3">
      <c r="A100" s="101" t="s">
        <v>836</v>
      </c>
      <c r="B100" s="65"/>
      <c r="C100" s="1"/>
      <c r="E100" s="190"/>
      <c r="F100" s="10"/>
      <c r="G100" s="26"/>
      <c r="H100" s="27"/>
      <c r="I100" s="26"/>
      <c r="J100" s="25"/>
      <c r="K100" s="24"/>
    </row>
    <row r="101" spans="1:11" x14ac:dyDescent="0.3">
      <c r="A101" s="101" t="s">
        <v>836</v>
      </c>
      <c r="B101" s="28" t="s">
        <v>452</v>
      </c>
      <c r="C101" s="10" t="s">
        <v>71</v>
      </c>
      <c r="D101" s="57"/>
      <c r="E101" s="187" t="s">
        <v>451</v>
      </c>
      <c r="F101" s="10">
        <v>1</v>
      </c>
      <c r="G101" s="75">
        <v>18200</v>
      </c>
      <c r="H101" s="27">
        <v>0.2</v>
      </c>
      <c r="I101" s="26">
        <f t="shared" ref="I101:I108" si="20">(G101*(100%-H101))*F101</f>
        <v>14560</v>
      </c>
      <c r="J101" s="25">
        <f t="shared" ref="J101:J108" si="21">$K$5</f>
        <v>1</v>
      </c>
      <c r="K101" s="24">
        <f t="shared" ref="K101:K108" si="22">I101/$K$5</f>
        <v>14560</v>
      </c>
    </row>
    <row r="102" spans="1:11" x14ac:dyDescent="0.3">
      <c r="A102" s="101" t="s">
        <v>836</v>
      </c>
      <c r="B102" s="28" t="s">
        <v>450</v>
      </c>
      <c r="C102" s="10" t="s">
        <v>71</v>
      </c>
      <c r="D102" s="57"/>
      <c r="E102" s="187" t="s">
        <v>449</v>
      </c>
      <c r="F102" s="10">
        <v>1</v>
      </c>
      <c r="G102" s="75">
        <v>9770</v>
      </c>
      <c r="H102" s="27">
        <v>0.2</v>
      </c>
      <c r="I102" s="26">
        <f t="shared" si="20"/>
        <v>7816</v>
      </c>
      <c r="J102" s="25">
        <f t="shared" si="21"/>
        <v>1</v>
      </c>
      <c r="K102" s="24">
        <f t="shared" si="22"/>
        <v>7816</v>
      </c>
    </row>
    <row r="103" spans="1:11" x14ac:dyDescent="0.3">
      <c r="A103" s="101" t="s">
        <v>836</v>
      </c>
      <c r="B103" s="28" t="s">
        <v>448</v>
      </c>
      <c r="C103" s="10" t="s">
        <v>71</v>
      </c>
      <c r="D103" s="58"/>
      <c r="E103" s="187" t="s">
        <v>447</v>
      </c>
      <c r="F103" s="10">
        <v>1</v>
      </c>
      <c r="G103" s="75">
        <v>8650</v>
      </c>
      <c r="H103" s="27">
        <v>0</v>
      </c>
      <c r="I103" s="26">
        <f t="shared" si="20"/>
        <v>8650</v>
      </c>
      <c r="J103" s="25">
        <f t="shared" si="21"/>
        <v>1</v>
      </c>
      <c r="K103" s="24">
        <f t="shared" si="22"/>
        <v>8650</v>
      </c>
    </row>
    <row r="104" spans="1:11" x14ac:dyDescent="0.3">
      <c r="A104" s="101" t="s">
        <v>836</v>
      </c>
      <c r="B104" s="28" t="s">
        <v>446</v>
      </c>
      <c r="C104" s="1" t="s">
        <v>71</v>
      </c>
      <c r="D104" s="58"/>
      <c r="E104" s="187" t="s">
        <v>445</v>
      </c>
      <c r="F104" s="10">
        <v>1</v>
      </c>
      <c r="G104" s="75">
        <v>17000</v>
      </c>
      <c r="H104" s="27">
        <v>0.2</v>
      </c>
      <c r="I104" s="26">
        <f t="shared" si="20"/>
        <v>13600</v>
      </c>
      <c r="J104" s="25">
        <f t="shared" si="21"/>
        <v>1</v>
      </c>
      <c r="K104" s="24">
        <f t="shared" si="22"/>
        <v>13600</v>
      </c>
    </row>
    <row r="105" spans="1:11" x14ac:dyDescent="0.3">
      <c r="A105" s="101" t="s">
        <v>836</v>
      </c>
      <c r="B105" s="28" t="s">
        <v>444</v>
      </c>
      <c r="C105" s="1" t="s">
        <v>71</v>
      </c>
      <c r="D105" s="58"/>
      <c r="E105" s="187" t="s">
        <v>443</v>
      </c>
      <c r="F105" s="10">
        <v>1</v>
      </c>
      <c r="G105" s="75">
        <v>2820</v>
      </c>
      <c r="H105" s="27">
        <v>0.2</v>
      </c>
      <c r="I105" s="26">
        <f t="shared" si="20"/>
        <v>2256</v>
      </c>
      <c r="J105" s="25">
        <f t="shared" si="21"/>
        <v>1</v>
      </c>
      <c r="K105" s="24">
        <f t="shared" si="22"/>
        <v>2256</v>
      </c>
    </row>
    <row r="106" spans="1:11" x14ac:dyDescent="0.3">
      <c r="A106" s="101" t="s">
        <v>836</v>
      </c>
      <c r="B106" s="28" t="s">
        <v>442</v>
      </c>
      <c r="C106" s="1" t="s">
        <v>71</v>
      </c>
      <c r="D106" s="57"/>
      <c r="E106" s="187" t="s">
        <v>441</v>
      </c>
      <c r="F106" s="10">
        <v>1</v>
      </c>
      <c r="G106" s="75">
        <v>1200</v>
      </c>
      <c r="H106" s="27">
        <v>0.2</v>
      </c>
      <c r="I106" s="26">
        <f t="shared" si="20"/>
        <v>960</v>
      </c>
      <c r="J106" s="25">
        <f t="shared" si="21"/>
        <v>1</v>
      </c>
      <c r="K106" s="24">
        <f t="shared" si="22"/>
        <v>960</v>
      </c>
    </row>
    <row r="107" spans="1:11" x14ac:dyDescent="0.3">
      <c r="A107" s="101" t="s">
        <v>836</v>
      </c>
      <c r="B107" s="28" t="s">
        <v>440</v>
      </c>
      <c r="C107" s="1" t="s">
        <v>71</v>
      </c>
      <c r="D107" s="58"/>
      <c r="E107" s="187" t="s">
        <v>439</v>
      </c>
      <c r="F107" s="10">
        <v>1</v>
      </c>
      <c r="G107" s="75">
        <v>6490</v>
      </c>
      <c r="H107" s="27">
        <v>0.2</v>
      </c>
      <c r="I107" s="26">
        <f t="shared" si="20"/>
        <v>5192</v>
      </c>
      <c r="J107" s="25">
        <f t="shared" si="21"/>
        <v>1</v>
      </c>
      <c r="K107" s="24">
        <f t="shared" si="22"/>
        <v>5192</v>
      </c>
    </row>
    <row r="108" spans="1:11" x14ac:dyDescent="0.3">
      <c r="A108" s="101" t="s">
        <v>836</v>
      </c>
      <c r="B108" s="28" t="s">
        <v>438</v>
      </c>
      <c r="C108" s="1" t="s">
        <v>71</v>
      </c>
      <c r="D108" s="58"/>
      <c r="E108" s="187" t="s">
        <v>437</v>
      </c>
      <c r="F108" s="10">
        <v>1</v>
      </c>
      <c r="G108" s="75">
        <v>1670</v>
      </c>
      <c r="H108" s="27">
        <v>0.2</v>
      </c>
      <c r="I108" s="26">
        <f t="shared" si="20"/>
        <v>1336</v>
      </c>
      <c r="J108" s="25">
        <f t="shared" si="21"/>
        <v>1</v>
      </c>
      <c r="K108" s="24">
        <f t="shared" si="22"/>
        <v>1336</v>
      </c>
    </row>
    <row r="109" spans="1:11" x14ac:dyDescent="0.3">
      <c r="A109" s="101" t="s">
        <v>836</v>
      </c>
      <c r="B109" s="28"/>
      <c r="C109" s="10"/>
      <c r="D109" s="58"/>
      <c r="E109" s="188"/>
      <c r="F109" s="10"/>
      <c r="G109" s="26"/>
      <c r="H109" s="27"/>
      <c r="I109" s="26"/>
      <c r="J109" s="25"/>
      <c r="K109" s="24"/>
    </row>
    <row r="110" spans="1:11" x14ac:dyDescent="0.3">
      <c r="A110" s="101" t="s">
        <v>836</v>
      </c>
      <c r="B110" s="28" t="s">
        <v>436</v>
      </c>
      <c r="C110" s="1" t="s">
        <v>71</v>
      </c>
      <c r="D110" s="57"/>
      <c r="E110" s="187" t="s">
        <v>435</v>
      </c>
      <c r="F110" s="10">
        <v>1</v>
      </c>
      <c r="G110" s="75">
        <v>40700</v>
      </c>
      <c r="H110" s="27">
        <v>0</v>
      </c>
      <c r="I110" s="26">
        <f t="shared" ref="I110:I122" si="23">(G110*(100%-H110))*F110</f>
        <v>40700</v>
      </c>
      <c r="J110" s="25">
        <f t="shared" ref="J110:J124" si="24">$K$5</f>
        <v>1</v>
      </c>
      <c r="K110" s="24">
        <f t="shared" ref="K110:K122" si="25">I110/$K$5</f>
        <v>40700</v>
      </c>
    </row>
    <row r="111" spans="1:11" x14ac:dyDescent="0.3">
      <c r="A111" s="101" t="s">
        <v>836</v>
      </c>
      <c r="B111" s="28" t="s">
        <v>434</v>
      </c>
      <c r="C111" s="1" t="s">
        <v>71</v>
      </c>
      <c r="D111" s="57"/>
      <c r="E111" s="187" t="s">
        <v>433</v>
      </c>
      <c r="F111" s="10">
        <v>1</v>
      </c>
      <c r="G111" s="75">
        <v>8350</v>
      </c>
      <c r="H111" s="27">
        <v>0.2</v>
      </c>
      <c r="I111" s="26">
        <f t="shared" si="23"/>
        <v>6680</v>
      </c>
      <c r="J111" s="25">
        <f t="shared" si="24"/>
        <v>1</v>
      </c>
      <c r="K111" s="24">
        <f t="shared" si="25"/>
        <v>6680</v>
      </c>
    </row>
    <row r="112" spans="1:11" x14ac:dyDescent="0.3">
      <c r="A112" s="101" t="s">
        <v>836</v>
      </c>
      <c r="B112" s="28" t="s">
        <v>432</v>
      </c>
      <c r="C112" s="1" t="s">
        <v>71</v>
      </c>
      <c r="D112" s="57"/>
      <c r="E112" s="187" t="s">
        <v>431</v>
      </c>
      <c r="F112" s="10">
        <v>1</v>
      </c>
      <c r="G112" s="75">
        <v>12500</v>
      </c>
      <c r="H112" s="27">
        <v>0.2</v>
      </c>
      <c r="I112" s="26">
        <f t="shared" si="23"/>
        <v>10000</v>
      </c>
      <c r="J112" s="25">
        <f t="shared" si="24"/>
        <v>1</v>
      </c>
      <c r="K112" s="24">
        <f t="shared" si="25"/>
        <v>10000</v>
      </c>
    </row>
    <row r="113" spans="1:11" x14ac:dyDescent="0.3">
      <c r="A113" s="101" t="s">
        <v>836</v>
      </c>
      <c r="B113" s="28" t="s">
        <v>430</v>
      </c>
      <c r="C113" s="1" t="s">
        <v>71</v>
      </c>
      <c r="D113" s="58"/>
      <c r="E113" s="187" t="s">
        <v>429</v>
      </c>
      <c r="F113" s="10">
        <v>1</v>
      </c>
      <c r="G113" s="75">
        <v>15200</v>
      </c>
      <c r="H113" s="27">
        <v>0.2</v>
      </c>
      <c r="I113" s="26">
        <f t="shared" si="23"/>
        <v>12160</v>
      </c>
      <c r="J113" s="25">
        <f t="shared" si="24"/>
        <v>1</v>
      </c>
      <c r="K113" s="24">
        <f t="shared" si="25"/>
        <v>12160</v>
      </c>
    </row>
    <row r="114" spans="1:11" x14ac:dyDescent="0.3">
      <c r="A114" s="101" t="s">
        <v>836</v>
      </c>
      <c r="B114" s="28" t="s">
        <v>428</v>
      </c>
      <c r="C114" s="1" t="s">
        <v>71</v>
      </c>
      <c r="D114" s="57"/>
      <c r="E114" s="187" t="s">
        <v>427</v>
      </c>
      <c r="F114" s="10">
        <v>1</v>
      </c>
      <c r="G114" s="75">
        <v>42400</v>
      </c>
      <c r="H114" s="27">
        <v>0.2</v>
      </c>
      <c r="I114" s="26">
        <f t="shared" si="23"/>
        <v>33920</v>
      </c>
      <c r="J114" s="25">
        <f t="shared" si="24"/>
        <v>1</v>
      </c>
      <c r="K114" s="24">
        <f t="shared" si="25"/>
        <v>33920</v>
      </c>
    </row>
    <row r="115" spans="1:11" x14ac:dyDescent="0.3">
      <c r="A115" s="101" t="s">
        <v>836</v>
      </c>
      <c r="B115" s="28" t="s">
        <v>426</v>
      </c>
      <c r="C115" s="1" t="s">
        <v>71</v>
      </c>
      <c r="D115" s="57"/>
      <c r="E115" s="187" t="s">
        <v>425</v>
      </c>
      <c r="F115" s="10">
        <v>1</v>
      </c>
      <c r="G115" s="75">
        <v>3220</v>
      </c>
      <c r="H115" s="27">
        <v>0.2</v>
      </c>
      <c r="I115" s="26">
        <f t="shared" si="23"/>
        <v>2576</v>
      </c>
      <c r="J115" s="25">
        <f t="shared" si="24"/>
        <v>1</v>
      </c>
      <c r="K115" s="24">
        <f t="shared" si="25"/>
        <v>2576</v>
      </c>
    </row>
    <row r="116" spans="1:11" x14ac:dyDescent="0.3">
      <c r="A116" s="101" t="s">
        <v>836</v>
      </c>
      <c r="B116" s="28" t="s">
        <v>424</v>
      </c>
      <c r="C116" s="1" t="s">
        <v>71</v>
      </c>
      <c r="D116" s="57"/>
      <c r="E116" s="187" t="s">
        <v>423</v>
      </c>
      <c r="F116" s="10">
        <v>1</v>
      </c>
      <c r="G116" s="75">
        <v>764</v>
      </c>
      <c r="H116" s="27">
        <v>0.2</v>
      </c>
      <c r="I116" s="26">
        <f t="shared" si="23"/>
        <v>611.20000000000005</v>
      </c>
      <c r="J116" s="25">
        <f t="shared" si="24"/>
        <v>1</v>
      </c>
      <c r="K116" s="24">
        <f t="shared" si="25"/>
        <v>611.20000000000005</v>
      </c>
    </row>
    <row r="117" spans="1:11" x14ac:dyDescent="0.3">
      <c r="A117" s="101" t="s">
        <v>836</v>
      </c>
      <c r="B117" s="28" t="s">
        <v>422</v>
      </c>
      <c r="C117" s="1" t="s">
        <v>71</v>
      </c>
      <c r="D117" s="57"/>
      <c r="E117" s="187" t="s">
        <v>421</v>
      </c>
      <c r="F117" s="10">
        <v>1</v>
      </c>
      <c r="G117" s="75">
        <v>624</v>
      </c>
      <c r="H117" s="27">
        <v>0.2</v>
      </c>
      <c r="I117" s="26">
        <f t="shared" si="23"/>
        <v>499.20000000000005</v>
      </c>
      <c r="J117" s="25">
        <f t="shared" si="24"/>
        <v>1</v>
      </c>
      <c r="K117" s="24">
        <f t="shared" si="25"/>
        <v>499.20000000000005</v>
      </c>
    </row>
    <row r="118" spans="1:11" x14ac:dyDescent="0.3">
      <c r="A118" s="101" t="s">
        <v>836</v>
      </c>
      <c r="B118" s="28" t="s">
        <v>420</v>
      </c>
      <c r="C118" s="1" t="s">
        <v>71</v>
      </c>
      <c r="D118" s="57"/>
      <c r="E118" s="187" t="s">
        <v>419</v>
      </c>
      <c r="F118" s="10">
        <v>1</v>
      </c>
      <c r="G118" s="75">
        <v>5150</v>
      </c>
      <c r="H118" s="27">
        <v>0.2</v>
      </c>
      <c r="I118" s="26">
        <f t="shared" si="23"/>
        <v>4120</v>
      </c>
      <c r="J118" s="25">
        <f t="shared" si="24"/>
        <v>1</v>
      </c>
      <c r="K118" s="24">
        <f t="shared" si="25"/>
        <v>4120</v>
      </c>
    </row>
    <row r="119" spans="1:11" x14ac:dyDescent="0.3">
      <c r="A119" s="101" t="s">
        <v>836</v>
      </c>
      <c r="B119" s="28" t="s">
        <v>418</v>
      </c>
      <c r="C119" s="1" t="s">
        <v>71</v>
      </c>
      <c r="D119" s="57"/>
      <c r="E119" s="187" t="s">
        <v>417</v>
      </c>
      <c r="F119" s="10">
        <v>1</v>
      </c>
      <c r="G119" s="75">
        <v>35600</v>
      </c>
      <c r="H119" s="27">
        <v>0.2</v>
      </c>
      <c r="I119" s="26">
        <f t="shared" si="23"/>
        <v>28480</v>
      </c>
      <c r="J119" s="25">
        <f t="shared" si="24"/>
        <v>1</v>
      </c>
      <c r="K119" s="24">
        <f t="shared" si="25"/>
        <v>28480</v>
      </c>
    </row>
    <row r="120" spans="1:11" x14ac:dyDescent="0.3">
      <c r="A120" s="101" t="s">
        <v>836</v>
      </c>
      <c r="B120" s="28" t="s">
        <v>416</v>
      </c>
      <c r="C120" s="1" t="s">
        <v>71</v>
      </c>
      <c r="D120" s="57"/>
      <c r="E120" s="187" t="s">
        <v>415</v>
      </c>
      <c r="F120" s="10">
        <v>1</v>
      </c>
      <c r="G120" s="75">
        <v>23300</v>
      </c>
      <c r="H120" s="27">
        <v>0.2</v>
      </c>
      <c r="I120" s="26">
        <f t="shared" si="23"/>
        <v>18640</v>
      </c>
      <c r="J120" s="25">
        <f t="shared" si="24"/>
        <v>1</v>
      </c>
      <c r="K120" s="24">
        <f t="shared" si="25"/>
        <v>18640</v>
      </c>
    </row>
    <row r="121" spans="1:11" x14ac:dyDescent="0.3">
      <c r="A121" s="101" t="s">
        <v>836</v>
      </c>
      <c r="B121" s="28" t="s">
        <v>414</v>
      </c>
      <c r="C121" s="1" t="s">
        <v>71</v>
      </c>
      <c r="D121" s="57"/>
      <c r="E121" s="187" t="s">
        <v>413</v>
      </c>
      <c r="F121" s="10">
        <v>1</v>
      </c>
      <c r="G121" s="75">
        <v>48500</v>
      </c>
      <c r="H121" s="27">
        <v>0.2</v>
      </c>
      <c r="I121" s="26">
        <f t="shared" si="23"/>
        <v>38800</v>
      </c>
      <c r="J121" s="25">
        <f t="shared" si="24"/>
        <v>1</v>
      </c>
      <c r="K121" s="24">
        <f t="shared" si="25"/>
        <v>38800</v>
      </c>
    </row>
    <row r="122" spans="1:11" x14ac:dyDescent="0.3">
      <c r="A122" s="101" t="s">
        <v>836</v>
      </c>
      <c r="B122" s="28" t="s">
        <v>412</v>
      </c>
      <c r="C122" s="1"/>
      <c r="D122" s="57"/>
      <c r="E122" s="189"/>
      <c r="F122" s="10">
        <v>1</v>
      </c>
      <c r="G122" s="26">
        <v>18000</v>
      </c>
      <c r="H122" s="27">
        <v>0</v>
      </c>
      <c r="I122" s="26">
        <f t="shared" si="23"/>
        <v>18000</v>
      </c>
      <c r="J122" s="25">
        <f t="shared" si="24"/>
        <v>1</v>
      </c>
      <c r="K122" s="24">
        <f t="shared" si="25"/>
        <v>18000</v>
      </c>
    </row>
    <row r="123" spans="1:11" x14ac:dyDescent="0.3">
      <c r="A123" s="101" t="s">
        <v>836</v>
      </c>
      <c r="B123" s="28"/>
      <c r="C123" s="10"/>
      <c r="D123" s="58"/>
      <c r="E123" s="188"/>
      <c r="F123" s="10"/>
      <c r="G123" s="26"/>
      <c r="H123" s="27"/>
      <c r="I123" s="26"/>
      <c r="J123" s="27"/>
      <c r="K123" s="24"/>
    </row>
    <row r="124" spans="1:11" x14ac:dyDescent="0.3">
      <c r="A124" s="101" t="s">
        <v>836</v>
      </c>
      <c r="B124" s="28" t="s">
        <v>734</v>
      </c>
      <c r="C124" s="1" t="s">
        <v>71</v>
      </c>
      <c r="D124" s="57"/>
      <c r="E124" s="191"/>
      <c r="F124" s="10">
        <v>0</v>
      </c>
      <c r="G124" s="26">
        <v>123000</v>
      </c>
      <c r="H124" s="27">
        <v>0</v>
      </c>
      <c r="I124" s="26">
        <f>(G124*(100%-H124))*F124</f>
        <v>0</v>
      </c>
      <c r="J124" s="25">
        <f t="shared" si="24"/>
        <v>1</v>
      </c>
      <c r="K124" s="24">
        <f t="shared" ref="K124" si="26">I124/$K$5</f>
        <v>0</v>
      </c>
    </row>
    <row r="125" spans="1:11" x14ac:dyDescent="0.3">
      <c r="A125" s="101" t="s">
        <v>836</v>
      </c>
      <c r="B125" s="28" t="s">
        <v>735</v>
      </c>
      <c r="C125" s="10"/>
      <c r="D125" s="58"/>
      <c r="E125" s="188"/>
      <c r="F125" s="10"/>
      <c r="G125" s="26"/>
      <c r="H125" s="27"/>
      <c r="I125" s="26"/>
      <c r="J125" s="27"/>
      <c r="K125" s="24"/>
    </row>
    <row r="126" spans="1:11" x14ac:dyDescent="0.3">
      <c r="A126" s="101" t="s">
        <v>836</v>
      </c>
      <c r="B126" s="28" t="s">
        <v>736</v>
      </c>
      <c r="C126" s="10"/>
      <c r="D126" s="58"/>
      <c r="E126" s="188"/>
      <c r="F126" s="10"/>
      <c r="G126" s="26"/>
      <c r="H126" s="27"/>
      <c r="I126" s="26"/>
      <c r="J126" s="27"/>
      <c r="K126" s="24"/>
    </row>
    <row r="127" spans="1:11" x14ac:dyDescent="0.3">
      <c r="A127" s="101" t="s">
        <v>836</v>
      </c>
      <c r="B127" s="28" t="s">
        <v>737</v>
      </c>
      <c r="C127" s="10"/>
      <c r="D127" s="58"/>
      <c r="E127" s="188"/>
      <c r="F127" s="10"/>
      <c r="G127" s="26"/>
      <c r="H127" s="27"/>
      <c r="I127" s="26"/>
      <c r="J127" s="27"/>
      <c r="K127" s="24"/>
    </row>
    <row r="128" spans="1:11" x14ac:dyDescent="0.3">
      <c r="A128" s="101" t="s">
        <v>836</v>
      </c>
      <c r="B128" s="65" t="s">
        <v>738</v>
      </c>
      <c r="C128" s="10"/>
      <c r="D128" s="10"/>
      <c r="E128" s="192"/>
      <c r="F128" s="10"/>
      <c r="G128" s="26"/>
      <c r="H128" s="10"/>
      <c r="I128" s="10"/>
      <c r="J128" s="10"/>
      <c r="K128" s="69"/>
    </row>
    <row r="129" spans="1:11" ht="18.600000000000001" thickBot="1" x14ac:dyDescent="0.35">
      <c r="A129" s="101" t="s">
        <v>836</v>
      </c>
      <c r="B129" s="21"/>
      <c r="C129" s="20"/>
      <c r="D129" s="20"/>
      <c r="E129" s="68"/>
      <c r="F129" s="20"/>
      <c r="G129" s="20"/>
      <c r="H129" s="19" t="s">
        <v>9</v>
      </c>
      <c r="I129" s="18">
        <f>SUM(I10:I128)</f>
        <v>1705246.75</v>
      </c>
      <c r="J129" s="20"/>
      <c r="K129" s="16">
        <f>SUM(K10:K126)</f>
        <v>1705246.75</v>
      </c>
    </row>
    <row r="130" spans="1:11" x14ac:dyDescent="0.3">
      <c r="A130" s="101" t="s">
        <v>836</v>
      </c>
      <c r="B130" s="304" t="s">
        <v>411</v>
      </c>
      <c r="C130" s="304"/>
      <c r="D130" s="304"/>
      <c r="E130" s="304"/>
      <c r="F130" s="304"/>
      <c r="G130" s="304"/>
      <c r="H130" s="304"/>
      <c r="I130" s="304"/>
      <c r="J130" s="304"/>
      <c r="K130" s="304"/>
    </row>
    <row r="131" spans="1:11" ht="15" thickBot="1" x14ac:dyDescent="0.35">
      <c r="A131" s="101" t="s">
        <v>836</v>
      </c>
      <c r="B131" s="307"/>
      <c r="C131" s="307"/>
      <c r="D131" s="307"/>
      <c r="E131" s="307"/>
      <c r="F131" s="307"/>
      <c r="G131" s="307"/>
      <c r="H131" s="307"/>
      <c r="I131" s="307"/>
      <c r="J131" s="307"/>
      <c r="K131" s="307"/>
    </row>
    <row r="132" spans="1:11" x14ac:dyDescent="0.3">
      <c r="A132" s="101" t="s">
        <v>836</v>
      </c>
      <c r="B132" s="66" t="s">
        <v>409</v>
      </c>
      <c r="C132" s="10" t="s">
        <v>71</v>
      </c>
      <c r="D132" s="58"/>
      <c r="E132" s="188" t="s">
        <v>410</v>
      </c>
      <c r="F132" s="10">
        <v>1</v>
      </c>
      <c r="G132" s="75">
        <v>3410</v>
      </c>
      <c r="H132" s="27">
        <v>0.5</v>
      </c>
      <c r="I132" s="26">
        <f t="shared" ref="I132:I140" si="27">(G132*(100%-H132))*F132</f>
        <v>1705</v>
      </c>
      <c r="J132" s="25">
        <f t="shared" ref="J132:J140" si="28">$K$5</f>
        <v>1</v>
      </c>
      <c r="K132" s="24">
        <f t="shared" ref="K132:K140" si="29">I132/$K$5</f>
        <v>1705</v>
      </c>
    </row>
    <row r="133" spans="1:11" x14ac:dyDescent="0.3">
      <c r="A133" s="101" t="s">
        <v>836</v>
      </c>
      <c r="B133" s="66" t="s">
        <v>409</v>
      </c>
      <c r="C133" s="10" t="s">
        <v>71</v>
      </c>
      <c r="D133" s="58"/>
      <c r="E133" s="187" t="s">
        <v>408</v>
      </c>
      <c r="F133" s="10">
        <v>1</v>
      </c>
      <c r="G133" s="75">
        <v>3180</v>
      </c>
      <c r="H133" s="27">
        <v>0.5</v>
      </c>
      <c r="I133" s="26">
        <f t="shared" si="27"/>
        <v>1590</v>
      </c>
      <c r="J133" s="25">
        <f t="shared" si="28"/>
        <v>1</v>
      </c>
      <c r="K133" s="24">
        <f t="shared" si="29"/>
        <v>1590</v>
      </c>
    </row>
    <row r="134" spans="1:11" x14ac:dyDescent="0.3">
      <c r="A134" s="101" t="s">
        <v>836</v>
      </c>
      <c r="B134" s="65" t="s">
        <v>407</v>
      </c>
      <c r="C134" s="10" t="s">
        <v>71</v>
      </c>
      <c r="D134" s="57"/>
      <c r="E134" s="187" t="s">
        <v>406</v>
      </c>
      <c r="F134" s="10">
        <v>1</v>
      </c>
      <c r="G134" s="75">
        <v>3410</v>
      </c>
      <c r="H134" s="27">
        <v>0.5</v>
      </c>
      <c r="I134" s="26">
        <f t="shared" si="27"/>
        <v>1705</v>
      </c>
      <c r="J134" s="25">
        <f t="shared" si="28"/>
        <v>1</v>
      </c>
      <c r="K134" s="24">
        <f t="shared" si="29"/>
        <v>1705</v>
      </c>
    </row>
    <row r="135" spans="1:11" x14ac:dyDescent="0.3">
      <c r="A135" s="101" t="s">
        <v>836</v>
      </c>
      <c r="B135" s="65" t="s">
        <v>405</v>
      </c>
      <c r="C135" s="10" t="s">
        <v>71</v>
      </c>
      <c r="D135" s="57"/>
      <c r="E135" s="187" t="s">
        <v>404</v>
      </c>
      <c r="F135" s="10">
        <v>1</v>
      </c>
      <c r="G135" s="75">
        <v>19200</v>
      </c>
      <c r="H135" s="27">
        <v>0.5</v>
      </c>
      <c r="I135" s="26">
        <f t="shared" si="27"/>
        <v>9600</v>
      </c>
      <c r="J135" s="25">
        <f t="shared" si="28"/>
        <v>1</v>
      </c>
      <c r="K135" s="24">
        <f t="shared" si="29"/>
        <v>9600</v>
      </c>
    </row>
    <row r="136" spans="1:11" x14ac:dyDescent="0.3">
      <c r="A136" s="101" t="s">
        <v>836</v>
      </c>
      <c r="B136" s="65" t="s">
        <v>403</v>
      </c>
      <c r="C136" s="10" t="s">
        <v>71</v>
      </c>
      <c r="D136" s="57"/>
      <c r="E136" s="187" t="s">
        <v>402</v>
      </c>
      <c r="F136" s="10">
        <v>1</v>
      </c>
      <c r="G136" s="75">
        <v>8620</v>
      </c>
      <c r="H136" s="27">
        <v>0.5</v>
      </c>
      <c r="I136" s="26">
        <f t="shared" si="27"/>
        <v>4310</v>
      </c>
      <c r="J136" s="25">
        <f t="shared" si="28"/>
        <v>1</v>
      </c>
      <c r="K136" s="24">
        <f t="shared" si="29"/>
        <v>4310</v>
      </c>
    </row>
    <row r="137" spans="1:11" x14ac:dyDescent="0.3">
      <c r="A137" s="101" t="s">
        <v>836</v>
      </c>
      <c r="B137" s="65" t="s">
        <v>401</v>
      </c>
      <c r="C137" s="10" t="s">
        <v>71</v>
      </c>
      <c r="D137" s="57"/>
      <c r="E137" s="187" t="s">
        <v>400</v>
      </c>
      <c r="F137" s="10">
        <v>1</v>
      </c>
      <c r="G137" s="75">
        <v>44100</v>
      </c>
      <c r="H137" s="27">
        <v>0.5</v>
      </c>
      <c r="I137" s="26">
        <f t="shared" si="27"/>
        <v>22050</v>
      </c>
      <c r="J137" s="25">
        <f t="shared" si="28"/>
        <v>1</v>
      </c>
      <c r="K137" s="24">
        <f t="shared" si="29"/>
        <v>22050</v>
      </c>
    </row>
    <row r="138" spans="1:11" x14ac:dyDescent="0.3">
      <c r="A138" s="101" t="s">
        <v>836</v>
      </c>
      <c r="B138" s="66" t="s">
        <v>157</v>
      </c>
      <c r="C138" s="10" t="s">
        <v>39</v>
      </c>
      <c r="D138" s="58"/>
      <c r="E138" s="192">
        <v>485105</v>
      </c>
      <c r="F138" s="10">
        <v>1</v>
      </c>
      <c r="G138" s="26">
        <v>157</v>
      </c>
      <c r="H138" s="27">
        <v>0.3</v>
      </c>
      <c r="I138" s="26">
        <f t="shared" si="27"/>
        <v>109.89999999999999</v>
      </c>
      <c r="J138" s="25">
        <f t="shared" si="28"/>
        <v>1</v>
      </c>
      <c r="K138" s="24">
        <f t="shared" si="29"/>
        <v>109.89999999999999</v>
      </c>
    </row>
    <row r="139" spans="1:11" x14ac:dyDescent="0.3">
      <c r="A139" s="101" t="s">
        <v>836</v>
      </c>
      <c r="B139" s="66" t="s">
        <v>711</v>
      </c>
      <c r="C139" s="10" t="s">
        <v>39</v>
      </c>
      <c r="D139" s="58"/>
      <c r="E139" s="192">
        <v>420002</v>
      </c>
      <c r="F139" s="10">
        <v>1</v>
      </c>
      <c r="G139" s="26">
        <v>9</v>
      </c>
      <c r="H139" s="27">
        <v>0.3</v>
      </c>
      <c r="I139" s="26">
        <f t="shared" si="27"/>
        <v>6.3</v>
      </c>
      <c r="J139" s="25">
        <f t="shared" si="28"/>
        <v>1</v>
      </c>
      <c r="K139" s="24">
        <f t="shared" si="29"/>
        <v>6.3</v>
      </c>
    </row>
    <row r="140" spans="1:11" x14ac:dyDescent="0.3">
      <c r="A140" s="101" t="s">
        <v>836</v>
      </c>
      <c r="B140" s="15" t="s">
        <v>744</v>
      </c>
      <c r="C140" s="54" t="s">
        <v>39</v>
      </c>
      <c r="D140" s="1"/>
      <c r="E140" s="192" t="s">
        <v>745</v>
      </c>
      <c r="F140" s="10">
        <v>1</v>
      </c>
      <c r="G140" s="26">
        <v>274</v>
      </c>
      <c r="H140" s="27">
        <v>0.3</v>
      </c>
      <c r="I140" s="26">
        <f t="shared" si="27"/>
        <v>191.79999999999998</v>
      </c>
      <c r="J140" s="25">
        <f t="shared" si="28"/>
        <v>1</v>
      </c>
      <c r="K140" s="24">
        <f t="shared" si="29"/>
        <v>191.79999999999998</v>
      </c>
    </row>
    <row r="141" spans="1:11" x14ac:dyDescent="0.3">
      <c r="A141" s="101" t="s">
        <v>836</v>
      </c>
      <c r="B141" s="65"/>
      <c r="C141" s="10"/>
      <c r="D141" s="14"/>
      <c r="E141" s="190"/>
      <c r="F141" s="10"/>
      <c r="G141" s="26"/>
      <c r="H141" s="27"/>
      <c r="I141" s="26"/>
      <c r="J141" s="25"/>
      <c r="K141" s="24"/>
    </row>
    <row r="142" spans="1:11" x14ac:dyDescent="0.3">
      <c r="A142" s="101" t="s">
        <v>836</v>
      </c>
      <c r="B142" s="28" t="s">
        <v>399</v>
      </c>
      <c r="C142" s="10" t="s">
        <v>71</v>
      </c>
      <c r="D142" s="58"/>
      <c r="E142" s="187" t="s">
        <v>398</v>
      </c>
      <c r="F142" s="10">
        <v>1</v>
      </c>
      <c r="G142" s="75">
        <v>921</v>
      </c>
      <c r="H142" s="27">
        <v>0.5</v>
      </c>
      <c r="I142" s="26">
        <f t="shared" ref="I142:I152" si="30">(G142*(100%-H142))*F142</f>
        <v>460.5</v>
      </c>
      <c r="J142" s="25">
        <f t="shared" ref="J142:J152" si="31">$K$5</f>
        <v>1</v>
      </c>
      <c r="K142" s="24">
        <f t="shared" ref="K142:K152" si="32">I142/$K$5</f>
        <v>460.5</v>
      </c>
    </row>
    <row r="143" spans="1:11" x14ac:dyDescent="0.3">
      <c r="A143" s="101" t="s">
        <v>836</v>
      </c>
      <c r="B143" s="28" t="s">
        <v>397</v>
      </c>
      <c r="C143" s="10" t="s">
        <v>71</v>
      </c>
      <c r="D143" s="58"/>
      <c r="E143" s="187" t="s">
        <v>396</v>
      </c>
      <c r="F143" s="10">
        <v>1</v>
      </c>
      <c r="G143" s="75">
        <v>961</v>
      </c>
      <c r="H143" s="27">
        <v>0.5</v>
      </c>
      <c r="I143" s="26">
        <f t="shared" si="30"/>
        <v>480.5</v>
      </c>
      <c r="J143" s="25">
        <f t="shared" si="31"/>
        <v>1</v>
      </c>
      <c r="K143" s="24">
        <f t="shared" si="32"/>
        <v>480.5</v>
      </c>
    </row>
    <row r="144" spans="1:11" x14ac:dyDescent="0.3">
      <c r="A144" s="101" t="s">
        <v>836</v>
      </c>
      <c r="B144" s="15" t="s">
        <v>395</v>
      </c>
      <c r="C144" s="10" t="s">
        <v>71</v>
      </c>
      <c r="D144" s="58"/>
      <c r="E144" s="187" t="s">
        <v>394</v>
      </c>
      <c r="F144" s="10">
        <v>1</v>
      </c>
      <c r="G144" s="75">
        <v>961</v>
      </c>
      <c r="H144" s="27">
        <v>0.5</v>
      </c>
      <c r="I144" s="26">
        <f t="shared" si="30"/>
        <v>480.5</v>
      </c>
      <c r="J144" s="25">
        <f t="shared" si="31"/>
        <v>1</v>
      </c>
      <c r="K144" s="24">
        <f t="shared" si="32"/>
        <v>480.5</v>
      </c>
    </row>
    <row r="145" spans="1:11" x14ac:dyDescent="0.3">
      <c r="A145" s="101" t="s">
        <v>836</v>
      </c>
      <c r="B145" s="15" t="s">
        <v>393</v>
      </c>
      <c r="C145" s="10" t="s">
        <v>71</v>
      </c>
      <c r="D145" s="58"/>
      <c r="E145" s="187" t="s">
        <v>392</v>
      </c>
      <c r="F145" s="10">
        <v>1</v>
      </c>
      <c r="G145" s="75">
        <v>961</v>
      </c>
      <c r="H145" s="27">
        <v>0.5</v>
      </c>
      <c r="I145" s="26">
        <f t="shared" si="30"/>
        <v>480.5</v>
      </c>
      <c r="J145" s="25">
        <f t="shared" si="31"/>
        <v>1</v>
      </c>
      <c r="K145" s="24">
        <f t="shared" si="32"/>
        <v>480.5</v>
      </c>
    </row>
    <row r="146" spans="1:11" x14ac:dyDescent="0.3">
      <c r="A146" s="101" t="s">
        <v>836</v>
      </c>
      <c r="B146" s="28" t="s">
        <v>391</v>
      </c>
      <c r="C146" s="1" t="s">
        <v>71</v>
      </c>
      <c r="D146" s="57"/>
      <c r="E146" s="187" t="s">
        <v>390</v>
      </c>
      <c r="F146" s="10">
        <v>1</v>
      </c>
      <c r="G146" s="75">
        <v>961</v>
      </c>
      <c r="H146" s="27">
        <v>0.5</v>
      </c>
      <c r="I146" s="26">
        <f t="shared" si="30"/>
        <v>480.5</v>
      </c>
      <c r="J146" s="25">
        <f t="shared" si="31"/>
        <v>1</v>
      </c>
      <c r="K146" s="24">
        <f t="shared" si="32"/>
        <v>480.5</v>
      </c>
    </row>
    <row r="147" spans="1:11" x14ac:dyDescent="0.3">
      <c r="A147" s="101" t="s">
        <v>836</v>
      </c>
      <c r="B147" s="28" t="s">
        <v>389</v>
      </c>
      <c r="C147" s="1" t="s">
        <v>71</v>
      </c>
      <c r="D147" s="57"/>
      <c r="E147" s="187" t="s">
        <v>388</v>
      </c>
      <c r="F147" s="10">
        <v>1</v>
      </c>
      <c r="G147" s="75">
        <v>961</v>
      </c>
      <c r="H147" s="27">
        <v>0.5</v>
      </c>
      <c r="I147" s="26">
        <f t="shared" si="30"/>
        <v>480.5</v>
      </c>
      <c r="J147" s="25">
        <f t="shared" si="31"/>
        <v>1</v>
      </c>
      <c r="K147" s="24">
        <f t="shared" si="32"/>
        <v>480.5</v>
      </c>
    </row>
    <row r="148" spans="1:11" x14ac:dyDescent="0.3">
      <c r="A148" s="101" t="s">
        <v>836</v>
      </c>
      <c r="B148" s="28" t="s">
        <v>387</v>
      </c>
      <c r="C148" s="1" t="s">
        <v>71</v>
      </c>
      <c r="D148" s="58"/>
      <c r="E148" s="187" t="s">
        <v>386</v>
      </c>
      <c r="F148" s="10">
        <v>1</v>
      </c>
      <c r="G148" s="75">
        <v>1080</v>
      </c>
      <c r="H148" s="27">
        <v>0.5</v>
      </c>
      <c r="I148" s="26">
        <f t="shared" si="30"/>
        <v>540</v>
      </c>
      <c r="J148" s="25">
        <f t="shared" si="31"/>
        <v>1</v>
      </c>
      <c r="K148" s="24">
        <f t="shared" si="32"/>
        <v>540</v>
      </c>
    </row>
    <row r="149" spans="1:11" x14ac:dyDescent="0.3">
      <c r="A149" s="101" t="s">
        <v>836</v>
      </c>
      <c r="B149" s="28" t="s">
        <v>385</v>
      </c>
      <c r="C149" s="1" t="s">
        <v>71</v>
      </c>
      <c r="D149" s="58"/>
      <c r="E149" s="187" t="s">
        <v>384</v>
      </c>
      <c r="F149" s="10">
        <v>1</v>
      </c>
      <c r="G149" s="75">
        <v>1080</v>
      </c>
      <c r="H149" s="27">
        <v>0.5</v>
      </c>
      <c r="I149" s="26">
        <f t="shared" si="30"/>
        <v>540</v>
      </c>
      <c r="J149" s="25">
        <f t="shared" si="31"/>
        <v>1</v>
      </c>
      <c r="K149" s="24">
        <f t="shared" si="32"/>
        <v>540</v>
      </c>
    </row>
    <row r="150" spans="1:11" x14ac:dyDescent="0.3">
      <c r="A150" s="101" t="s">
        <v>836</v>
      </c>
      <c r="B150" s="28" t="s">
        <v>383</v>
      </c>
      <c r="C150" s="1" t="s">
        <v>71</v>
      </c>
      <c r="D150" s="58"/>
      <c r="E150" s="187" t="s">
        <v>382</v>
      </c>
      <c r="F150" s="10">
        <v>1</v>
      </c>
      <c r="G150" s="75">
        <v>961</v>
      </c>
      <c r="H150" s="27">
        <v>0.5</v>
      </c>
      <c r="I150" s="26">
        <f t="shared" si="30"/>
        <v>480.5</v>
      </c>
      <c r="J150" s="25">
        <f t="shared" si="31"/>
        <v>1</v>
      </c>
      <c r="K150" s="24">
        <f t="shared" si="32"/>
        <v>480.5</v>
      </c>
    </row>
    <row r="151" spans="1:11" x14ac:dyDescent="0.3">
      <c r="A151" s="101" t="s">
        <v>836</v>
      </c>
      <c r="B151" s="28" t="s">
        <v>381</v>
      </c>
      <c r="C151" s="1" t="s">
        <v>71</v>
      </c>
      <c r="D151" s="58"/>
      <c r="E151" s="187" t="s">
        <v>380</v>
      </c>
      <c r="F151" s="10">
        <v>1</v>
      </c>
      <c r="G151" s="75">
        <v>2330</v>
      </c>
      <c r="H151" s="27">
        <v>0.5</v>
      </c>
      <c r="I151" s="26">
        <f t="shared" si="30"/>
        <v>1165</v>
      </c>
      <c r="J151" s="25">
        <f t="shared" si="31"/>
        <v>1</v>
      </c>
      <c r="K151" s="24">
        <f t="shared" si="32"/>
        <v>1165</v>
      </c>
    </row>
    <row r="152" spans="1:11" x14ac:dyDescent="0.3">
      <c r="A152" s="101" t="s">
        <v>836</v>
      </c>
      <c r="B152" s="28" t="s">
        <v>379</v>
      </c>
      <c r="C152" s="1" t="s">
        <v>71</v>
      </c>
      <c r="D152" s="58"/>
      <c r="E152" s="187" t="s">
        <v>378</v>
      </c>
      <c r="F152" s="10">
        <v>1</v>
      </c>
      <c r="G152" s="75">
        <v>1170</v>
      </c>
      <c r="H152" s="27">
        <v>0.5</v>
      </c>
      <c r="I152" s="26">
        <f t="shared" si="30"/>
        <v>585</v>
      </c>
      <c r="J152" s="25">
        <f t="shared" si="31"/>
        <v>1</v>
      </c>
      <c r="K152" s="24">
        <f t="shared" si="32"/>
        <v>585</v>
      </c>
    </row>
    <row r="153" spans="1:11" x14ac:dyDescent="0.3">
      <c r="A153" s="101"/>
      <c r="B153" s="28"/>
      <c r="C153" s="1"/>
      <c r="D153" s="58"/>
      <c r="E153" s="187"/>
      <c r="F153" s="10"/>
      <c r="G153" s="75"/>
      <c r="H153" s="27"/>
      <c r="I153" s="26"/>
      <c r="J153" s="25"/>
      <c r="K153" s="24"/>
    </row>
    <row r="154" spans="1:11" x14ac:dyDescent="0.3">
      <c r="A154" s="101" t="s">
        <v>836</v>
      </c>
      <c r="B154" s="15" t="s">
        <v>364</v>
      </c>
      <c r="C154" s="10" t="s">
        <v>71</v>
      </c>
      <c r="D154" s="58"/>
      <c r="E154" s="187" t="s">
        <v>363</v>
      </c>
      <c r="F154" s="10">
        <v>1</v>
      </c>
      <c r="G154" s="75">
        <v>203</v>
      </c>
      <c r="H154" s="27">
        <v>0.5</v>
      </c>
      <c r="I154" s="26">
        <f>(G154*(100%-H154))*F154</f>
        <v>101.5</v>
      </c>
      <c r="J154" s="25">
        <f t="shared" ref="J154:J167" si="33">$K$5</f>
        <v>1</v>
      </c>
      <c r="K154" s="24">
        <f>I154/$K$5</f>
        <v>101.5</v>
      </c>
    </row>
    <row r="155" spans="1:11" x14ac:dyDescent="0.3">
      <c r="A155" s="101" t="s">
        <v>836</v>
      </c>
      <c r="B155" s="15" t="s">
        <v>362</v>
      </c>
      <c r="C155" s="10" t="s">
        <v>71</v>
      </c>
      <c r="D155" s="58"/>
      <c r="E155" s="187" t="s">
        <v>361</v>
      </c>
      <c r="F155" s="10">
        <v>1</v>
      </c>
      <c r="G155" s="75">
        <v>147</v>
      </c>
      <c r="H155" s="27">
        <v>0.5</v>
      </c>
      <c r="I155" s="26">
        <f>(G155*(100%-H155))*F155</f>
        <v>73.5</v>
      </c>
      <c r="J155" s="25">
        <f t="shared" si="33"/>
        <v>1</v>
      </c>
      <c r="K155" s="24">
        <f>I155/$K$5</f>
        <v>73.5</v>
      </c>
    </row>
    <row r="156" spans="1:11" x14ac:dyDescent="0.3">
      <c r="A156" s="101" t="s">
        <v>836</v>
      </c>
      <c r="B156" s="15" t="s">
        <v>360</v>
      </c>
      <c r="C156" s="10" t="s">
        <v>71</v>
      </c>
      <c r="D156" s="58"/>
      <c r="E156" s="187" t="s">
        <v>359</v>
      </c>
      <c r="F156" s="10">
        <v>1</v>
      </c>
      <c r="G156" s="75">
        <v>117</v>
      </c>
      <c r="H156" s="27">
        <v>0.5</v>
      </c>
      <c r="I156" s="26">
        <f>(G156*(100%-H156))*F156</f>
        <v>58.5</v>
      </c>
      <c r="J156" s="25">
        <f t="shared" si="33"/>
        <v>1</v>
      </c>
      <c r="K156" s="24">
        <f>I156/$K$5</f>
        <v>58.5</v>
      </c>
    </row>
    <row r="157" spans="1:11" x14ac:dyDescent="0.3">
      <c r="A157" s="101" t="s">
        <v>836</v>
      </c>
      <c r="B157" s="28"/>
      <c r="C157" s="1"/>
      <c r="D157" s="58"/>
      <c r="E157" s="193"/>
      <c r="F157" s="10"/>
      <c r="G157" s="26"/>
      <c r="H157" s="27"/>
      <c r="I157" s="26"/>
      <c r="J157" s="25"/>
      <c r="K157" s="24"/>
    </row>
    <row r="158" spans="1:11" x14ac:dyDescent="0.3">
      <c r="A158" s="101" t="s">
        <v>836</v>
      </c>
      <c r="B158" s="28" t="s">
        <v>377</v>
      </c>
      <c r="C158" s="10" t="s">
        <v>71</v>
      </c>
      <c r="D158" s="58"/>
      <c r="E158" s="187" t="s">
        <v>376</v>
      </c>
      <c r="F158" s="10">
        <v>1</v>
      </c>
      <c r="G158" s="75">
        <v>477</v>
      </c>
      <c r="H158" s="27">
        <v>0.5</v>
      </c>
      <c r="I158" s="26">
        <f t="shared" ref="I158:I167" si="34">(G158*(100%-H158))*F158</f>
        <v>238.5</v>
      </c>
      <c r="J158" s="25">
        <f t="shared" si="33"/>
        <v>1</v>
      </c>
      <c r="K158" s="24">
        <f t="shared" ref="K158:K167" si="35">I158/$K$5</f>
        <v>238.5</v>
      </c>
    </row>
    <row r="159" spans="1:11" x14ac:dyDescent="0.3">
      <c r="A159" s="101" t="s">
        <v>836</v>
      </c>
      <c r="B159" s="28" t="s">
        <v>375</v>
      </c>
      <c r="C159" s="10" t="s">
        <v>71</v>
      </c>
      <c r="D159" s="58"/>
      <c r="E159" s="187" t="s">
        <v>256</v>
      </c>
      <c r="F159" s="10">
        <v>1</v>
      </c>
      <c r="G159" s="75">
        <v>510</v>
      </c>
      <c r="H159" s="27">
        <v>0.5</v>
      </c>
      <c r="I159" s="26">
        <f t="shared" si="34"/>
        <v>255</v>
      </c>
      <c r="J159" s="25">
        <f t="shared" si="33"/>
        <v>1</v>
      </c>
      <c r="K159" s="24">
        <f t="shared" si="35"/>
        <v>255</v>
      </c>
    </row>
    <row r="160" spans="1:11" x14ac:dyDescent="0.3">
      <c r="A160" s="101" t="s">
        <v>836</v>
      </c>
      <c r="B160" s="28" t="s">
        <v>374</v>
      </c>
      <c r="C160" s="10" t="s">
        <v>71</v>
      </c>
      <c r="D160" s="58"/>
      <c r="E160" s="187" t="s">
        <v>373</v>
      </c>
      <c r="F160" s="10">
        <v>1</v>
      </c>
      <c r="G160" s="75">
        <v>619</v>
      </c>
      <c r="H160" s="27">
        <v>0.5</v>
      </c>
      <c r="I160" s="26">
        <f t="shared" si="34"/>
        <v>309.5</v>
      </c>
      <c r="J160" s="25">
        <f t="shared" si="33"/>
        <v>1</v>
      </c>
      <c r="K160" s="24">
        <f t="shared" si="35"/>
        <v>309.5</v>
      </c>
    </row>
    <row r="161" spans="1:11" x14ac:dyDescent="0.3">
      <c r="A161" s="101" t="s">
        <v>836</v>
      </c>
      <c r="B161" s="28" t="s">
        <v>372</v>
      </c>
      <c r="C161" s="10" t="s">
        <v>71</v>
      </c>
      <c r="D161" s="58"/>
      <c r="E161" s="187" t="s">
        <v>270</v>
      </c>
      <c r="F161" s="10">
        <v>1</v>
      </c>
      <c r="G161" s="75">
        <v>406</v>
      </c>
      <c r="H161" s="27">
        <v>0.5</v>
      </c>
      <c r="I161" s="26">
        <f t="shared" si="34"/>
        <v>203</v>
      </c>
      <c r="J161" s="25">
        <f t="shared" si="33"/>
        <v>1</v>
      </c>
      <c r="K161" s="24">
        <f t="shared" si="35"/>
        <v>203</v>
      </c>
    </row>
    <row r="162" spans="1:11" x14ac:dyDescent="0.3">
      <c r="A162" s="101" t="s">
        <v>836</v>
      </c>
      <c r="B162" s="28" t="s">
        <v>371</v>
      </c>
      <c r="C162" s="10" t="s">
        <v>71</v>
      </c>
      <c r="D162" s="58"/>
      <c r="E162" s="187" t="s">
        <v>268</v>
      </c>
      <c r="F162" s="10">
        <v>1</v>
      </c>
      <c r="G162" s="176">
        <v>961</v>
      </c>
      <c r="H162" s="27">
        <v>0.5</v>
      </c>
      <c r="I162" s="26">
        <f t="shared" si="34"/>
        <v>480.5</v>
      </c>
      <c r="J162" s="25">
        <f t="shared" si="33"/>
        <v>1</v>
      </c>
      <c r="K162" s="24">
        <f t="shared" si="35"/>
        <v>480.5</v>
      </c>
    </row>
    <row r="163" spans="1:11" x14ac:dyDescent="0.3">
      <c r="A163" s="101" t="s">
        <v>836</v>
      </c>
      <c r="B163" s="28" t="s">
        <v>370</v>
      </c>
      <c r="C163" s="1" t="s">
        <v>71</v>
      </c>
      <c r="D163" s="58"/>
      <c r="E163" s="187" t="s">
        <v>369</v>
      </c>
      <c r="F163" s="10">
        <v>1</v>
      </c>
      <c r="G163" s="75">
        <v>5600</v>
      </c>
      <c r="H163" s="27">
        <v>0.5</v>
      </c>
      <c r="I163" s="26">
        <f t="shared" si="34"/>
        <v>2800</v>
      </c>
      <c r="J163" s="25">
        <f t="shared" si="33"/>
        <v>1</v>
      </c>
      <c r="K163" s="24">
        <f t="shared" si="35"/>
        <v>2800</v>
      </c>
    </row>
    <row r="164" spans="1:11" x14ac:dyDescent="0.3">
      <c r="A164" s="101" t="s">
        <v>836</v>
      </c>
      <c r="B164" s="91" t="s">
        <v>368</v>
      </c>
      <c r="C164" s="10" t="s">
        <v>71</v>
      </c>
      <c r="D164" s="58"/>
      <c r="E164" s="187" t="s">
        <v>367</v>
      </c>
      <c r="F164" s="10">
        <v>1</v>
      </c>
      <c r="G164" s="75">
        <v>142</v>
      </c>
      <c r="H164" s="27">
        <v>0.5</v>
      </c>
      <c r="I164" s="26">
        <f t="shared" si="34"/>
        <v>71</v>
      </c>
      <c r="J164" s="25">
        <f t="shared" si="33"/>
        <v>1</v>
      </c>
      <c r="K164" s="24">
        <f t="shared" si="35"/>
        <v>71</v>
      </c>
    </row>
    <row r="165" spans="1:11" x14ac:dyDescent="0.3">
      <c r="A165" s="101"/>
      <c r="B165" s="15"/>
      <c r="C165" s="10"/>
      <c r="D165" s="58"/>
      <c r="E165" s="187"/>
      <c r="F165" s="10"/>
      <c r="G165" s="75"/>
      <c r="H165" s="27"/>
      <c r="I165" s="26"/>
      <c r="J165" s="25"/>
      <c r="K165" s="24"/>
    </row>
    <row r="166" spans="1:11" x14ac:dyDescent="0.3">
      <c r="A166" s="101" t="s">
        <v>836</v>
      </c>
      <c r="B166" s="91" t="s">
        <v>993</v>
      </c>
      <c r="C166" s="10" t="s">
        <v>71</v>
      </c>
      <c r="D166" s="58"/>
      <c r="E166" s="187" t="s">
        <v>366</v>
      </c>
      <c r="F166" s="10">
        <v>1</v>
      </c>
      <c r="G166" s="75">
        <v>522</v>
      </c>
      <c r="H166" s="27">
        <v>0.5</v>
      </c>
      <c r="I166" s="26">
        <f t="shared" si="34"/>
        <v>261</v>
      </c>
      <c r="J166" s="25">
        <f t="shared" si="33"/>
        <v>1</v>
      </c>
      <c r="K166" s="24">
        <f t="shared" si="35"/>
        <v>261</v>
      </c>
    </row>
    <row r="167" spans="1:11" x14ac:dyDescent="0.3">
      <c r="A167" s="101" t="s">
        <v>836</v>
      </c>
      <c r="B167" s="28" t="s">
        <v>994</v>
      </c>
      <c r="C167" s="10" t="s">
        <v>71</v>
      </c>
      <c r="D167" s="67"/>
      <c r="E167" s="187" t="s">
        <v>365</v>
      </c>
      <c r="F167" s="10">
        <v>1</v>
      </c>
      <c r="G167" s="75">
        <v>217</v>
      </c>
      <c r="H167" s="27">
        <v>0.5</v>
      </c>
      <c r="I167" s="26">
        <f t="shared" si="34"/>
        <v>108.5</v>
      </c>
      <c r="J167" s="25">
        <f t="shared" si="33"/>
        <v>1</v>
      </c>
      <c r="K167" s="24">
        <f t="shared" si="35"/>
        <v>108.5</v>
      </c>
    </row>
    <row r="168" spans="1:11" x14ac:dyDescent="0.3">
      <c r="A168" s="101" t="s">
        <v>836</v>
      </c>
      <c r="B168" s="28" t="s">
        <v>997</v>
      </c>
      <c r="C168" s="10" t="s">
        <v>71</v>
      </c>
      <c r="D168" s="58"/>
      <c r="E168" s="53" t="s">
        <v>328</v>
      </c>
      <c r="F168" s="10">
        <v>1</v>
      </c>
      <c r="G168" s="75">
        <v>315</v>
      </c>
      <c r="H168" s="27">
        <v>0.5</v>
      </c>
      <c r="I168" s="26">
        <f>(G168*(100%-H168))*F168</f>
        <v>157.5</v>
      </c>
      <c r="J168" s="25">
        <f t="shared" ref="J168:J218" si="36">$K$5</f>
        <v>1</v>
      </c>
      <c r="K168" s="24">
        <f>I168/$K$5</f>
        <v>157.5</v>
      </c>
    </row>
    <row r="169" spans="1:11" x14ac:dyDescent="0.3">
      <c r="A169" s="101" t="s">
        <v>836</v>
      </c>
      <c r="B169" s="28" t="s">
        <v>998</v>
      </c>
      <c r="C169" s="10" t="s">
        <v>71</v>
      </c>
      <c r="D169" s="58"/>
      <c r="E169" s="53" t="s">
        <v>326</v>
      </c>
      <c r="F169" s="10">
        <v>1</v>
      </c>
      <c r="G169" s="75">
        <v>404</v>
      </c>
      <c r="H169" s="27">
        <v>0.5</v>
      </c>
      <c r="I169" s="26">
        <f>(G169*(100%-H169))*F169</f>
        <v>202</v>
      </c>
      <c r="J169" s="25">
        <f t="shared" si="36"/>
        <v>1</v>
      </c>
      <c r="K169" s="24">
        <f>I169/$K$5</f>
        <v>202</v>
      </c>
    </row>
    <row r="170" spans="1:11" x14ac:dyDescent="0.3">
      <c r="A170" s="101" t="s">
        <v>836</v>
      </c>
      <c r="B170" s="28" t="s">
        <v>311</v>
      </c>
      <c r="C170" s="10" t="s">
        <v>71</v>
      </c>
      <c r="D170" s="58"/>
      <c r="E170" s="187" t="s">
        <v>310</v>
      </c>
      <c r="F170" s="10">
        <v>1</v>
      </c>
      <c r="G170" s="75">
        <v>252</v>
      </c>
      <c r="H170" s="27">
        <v>0.5</v>
      </c>
      <c r="I170" s="26">
        <f>(G170*(100%-H170))*F170</f>
        <v>126</v>
      </c>
      <c r="J170" s="25">
        <f t="shared" si="36"/>
        <v>1</v>
      </c>
      <c r="K170" s="24">
        <f>I170/$K$5</f>
        <v>126</v>
      </c>
    </row>
    <row r="171" spans="1:11" x14ac:dyDescent="0.3">
      <c r="A171" s="101" t="s">
        <v>836</v>
      </c>
      <c r="B171" s="28" t="s">
        <v>309</v>
      </c>
      <c r="C171" s="10" t="s">
        <v>71</v>
      </c>
      <c r="D171" s="58"/>
      <c r="E171" s="187" t="s">
        <v>308</v>
      </c>
      <c r="F171" s="10">
        <v>1</v>
      </c>
      <c r="G171" s="75">
        <v>252</v>
      </c>
      <c r="H171" s="27">
        <v>0.5</v>
      </c>
      <c r="I171" s="26">
        <f>(G171*(100%-H171))*F171</f>
        <v>126</v>
      </c>
      <c r="J171" s="25">
        <f t="shared" si="36"/>
        <v>1</v>
      </c>
      <c r="K171" s="24">
        <f>I171/$K$5</f>
        <v>126</v>
      </c>
    </row>
    <row r="172" spans="1:11" x14ac:dyDescent="0.3">
      <c r="A172" s="101" t="s">
        <v>836</v>
      </c>
      <c r="B172" s="28" t="s">
        <v>995</v>
      </c>
      <c r="C172" s="10" t="s">
        <v>71</v>
      </c>
      <c r="D172" s="58"/>
      <c r="E172" s="53" t="s">
        <v>996</v>
      </c>
      <c r="F172" s="10">
        <v>1</v>
      </c>
      <c r="G172" s="75">
        <v>664</v>
      </c>
      <c r="H172" s="27">
        <v>0.5</v>
      </c>
      <c r="I172" s="26">
        <f>(G172*(100%-H172))*F172</f>
        <v>332</v>
      </c>
      <c r="J172" s="25">
        <f t="shared" si="36"/>
        <v>1</v>
      </c>
      <c r="K172" s="24">
        <f>I172/$K$5</f>
        <v>332</v>
      </c>
    </row>
    <row r="173" spans="1:11" x14ac:dyDescent="0.3">
      <c r="A173" s="101" t="s">
        <v>836</v>
      </c>
      <c r="B173" s="15"/>
      <c r="C173" s="10"/>
      <c r="D173" s="58"/>
      <c r="E173" s="188"/>
      <c r="F173" s="10"/>
      <c r="G173" s="26"/>
      <c r="H173" s="27"/>
      <c r="I173" s="26"/>
      <c r="J173" s="25"/>
      <c r="K173" s="24"/>
    </row>
    <row r="174" spans="1:11" x14ac:dyDescent="0.3">
      <c r="A174" s="101" t="s">
        <v>836</v>
      </c>
      <c r="B174" s="15" t="s">
        <v>358</v>
      </c>
      <c r="C174" s="10" t="s">
        <v>71</v>
      </c>
      <c r="D174" s="58"/>
      <c r="E174" s="187" t="s">
        <v>357</v>
      </c>
      <c r="F174" s="10">
        <v>1</v>
      </c>
      <c r="G174" s="75">
        <v>273</v>
      </c>
      <c r="H174" s="27">
        <v>0.5</v>
      </c>
      <c r="I174" s="26">
        <f>(G174*(100%-H174))*F174</f>
        <v>136.5</v>
      </c>
      <c r="J174" s="25">
        <f>$K$5</f>
        <v>1</v>
      </c>
      <c r="K174" s="24">
        <f>I174/$K$5</f>
        <v>136.5</v>
      </c>
    </row>
    <row r="175" spans="1:11" x14ac:dyDescent="0.3">
      <c r="A175" s="101" t="s">
        <v>836</v>
      </c>
      <c r="B175" s="15" t="s">
        <v>356</v>
      </c>
      <c r="C175" s="10" t="s">
        <v>71</v>
      </c>
      <c r="D175" s="58"/>
      <c r="E175" s="187" t="s">
        <v>355</v>
      </c>
      <c r="F175" s="10">
        <v>1</v>
      </c>
      <c r="G175" s="75">
        <v>313</v>
      </c>
      <c r="H175" s="27">
        <v>0.5</v>
      </c>
      <c r="I175" s="26">
        <f>(G175*(100%-H175))*F175</f>
        <v>156.5</v>
      </c>
      <c r="J175" s="25">
        <f>$K$5</f>
        <v>1</v>
      </c>
      <c r="K175" s="24">
        <f>I175/$K$5</f>
        <v>156.5</v>
      </c>
    </row>
    <row r="176" spans="1:11" x14ac:dyDescent="0.3">
      <c r="A176" s="101" t="s">
        <v>836</v>
      </c>
      <c r="B176" s="15" t="s">
        <v>354</v>
      </c>
      <c r="C176" s="10" t="s">
        <v>71</v>
      </c>
      <c r="D176" s="58"/>
      <c r="E176" s="187" t="s">
        <v>353</v>
      </c>
      <c r="F176" s="10">
        <v>1</v>
      </c>
      <c r="G176" s="75">
        <v>255</v>
      </c>
      <c r="H176" s="27">
        <v>0.5</v>
      </c>
      <c r="I176" s="26">
        <f>(G176*(100%-H176))*F176</f>
        <v>127.5</v>
      </c>
      <c r="J176" s="25">
        <f>$K$5</f>
        <v>1</v>
      </c>
      <c r="K176" s="24">
        <f>I176/$K$5</f>
        <v>127.5</v>
      </c>
    </row>
    <row r="177" spans="1:11" x14ac:dyDescent="0.3">
      <c r="A177" s="101" t="s">
        <v>836</v>
      </c>
      <c r="B177" s="15" t="s">
        <v>352</v>
      </c>
      <c r="C177" s="10" t="s">
        <v>71</v>
      </c>
      <c r="D177" s="58"/>
      <c r="E177" s="187" t="s">
        <v>351</v>
      </c>
      <c r="F177" s="10">
        <v>1</v>
      </c>
      <c r="G177" s="75">
        <v>271</v>
      </c>
      <c r="H177" s="27">
        <v>0.5</v>
      </c>
      <c r="I177" s="26">
        <f>(G177*(100%-H177))*F177</f>
        <v>135.5</v>
      </c>
      <c r="J177" s="25">
        <f>$K$5</f>
        <v>1</v>
      </c>
      <c r="K177" s="24">
        <f>I177/$K$5</f>
        <v>135.5</v>
      </c>
    </row>
    <row r="178" spans="1:11" x14ac:dyDescent="0.3">
      <c r="A178" s="101" t="s">
        <v>836</v>
      </c>
      <c r="B178" s="15"/>
      <c r="C178" s="10"/>
      <c r="D178" s="58"/>
      <c r="E178" s="188"/>
      <c r="F178" s="10"/>
      <c r="G178" s="26"/>
      <c r="H178" s="27"/>
      <c r="I178" s="26"/>
      <c r="J178" s="25"/>
      <c r="K178" s="24"/>
    </row>
    <row r="179" spans="1:11" x14ac:dyDescent="0.3">
      <c r="A179" s="101" t="s">
        <v>836</v>
      </c>
      <c r="B179" s="91" t="s">
        <v>641</v>
      </c>
      <c r="C179" s="10" t="s">
        <v>71</v>
      </c>
      <c r="D179" s="58"/>
      <c r="E179" s="187" t="s">
        <v>642</v>
      </c>
      <c r="F179" s="10">
        <v>1</v>
      </c>
      <c r="G179" s="75">
        <v>1010</v>
      </c>
      <c r="H179" s="27">
        <v>0.5</v>
      </c>
      <c r="I179" s="26">
        <f t="shared" ref="I179:I192" si="37">(G179*(100%-H179))*F179</f>
        <v>505</v>
      </c>
      <c r="J179" s="25">
        <f t="shared" ref="J179:J200" si="38">$K$5</f>
        <v>1</v>
      </c>
      <c r="K179" s="24">
        <f t="shared" ref="K179:K204" si="39">I179/$K$5</f>
        <v>505</v>
      </c>
    </row>
    <row r="180" spans="1:11" x14ac:dyDescent="0.3">
      <c r="A180" s="101" t="s">
        <v>836</v>
      </c>
      <c r="B180" s="15" t="s">
        <v>350</v>
      </c>
      <c r="C180" s="10" t="s">
        <v>71</v>
      </c>
      <c r="D180" s="58"/>
      <c r="E180" s="187" t="s">
        <v>349</v>
      </c>
      <c r="F180" s="10">
        <v>1</v>
      </c>
      <c r="G180" s="75">
        <v>292</v>
      </c>
      <c r="H180" s="27">
        <v>0.5</v>
      </c>
      <c r="I180" s="26">
        <f t="shared" si="37"/>
        <v>146</v>
      </c>
      <c r="J180" s="25">
        <f t="shared" si="38"/>
        <v>1</v>
      </c>
      <c r="K180" s="24">
        <f t="shared" si="39"/>
        <v>146</v>
      </c>
    </row>
    <row r="181" spans="1:11" x14ac:dyDescent="0.3">
      <c r="A181" s="101" t="s">
        <v>836</v>
      </c>
      <c r="B181" s="15" t="s">
        <v>348</v>
      </c>
      <c r="C181" s="10" t="s">
        <v>71</v>
      </c>
      <c r="D181" s="58"/>
      <c r="E181" s="187" t="s">
        <v>347</v>
      </c>
      <c r="F181" s="10">
        <v>1</v>
      </c>
      <c r="G181" s="75">
        <v>318</v>
      </c>
      <c r="H181" s="27">
        <v>0.5</v>
      </c>
      <c r="I181" s="26">
        <f t="shared" si="37"/>
        <v>159</v>
      </c>
      <c r="J181" s="25">
        <f t="shared" si="38"/>
        <v>1</v>
      </c>
      <c r="K181" s="24">
        <f t="shared" si="39"/>
        <v>159</v>
      </c>
    </row>
    <row r="182" spans="1:11" x14ac:dyDescent="0.3">
      <c r="A182" s="101" t="s">
        <v>836</v>
      </c>
      <c r="B182" s="91" t="s">
        <v>611</v>
      </c>
      <c r="C182" s="10" t="s">
        <v>71</v>
      </c>
      <c r="D182" s="58"/>
      <c r="E182" s="187" t="s">
        <v>613</v>
      </c>
      <c r="F182" s="10">
        <v>1</v>
      </c>
      <c r="G182" s="75">
        <v>292</v>
      </c>
      <c r="H182" s="27">
        <v>0.5</v>
      </c>
      <c r="I182" s="26">
        <f t="shared" si="37"/>
        <v>146</v>
      </c>
      <c r="J182" s="25">
        <f t="shared" si="38"/>
        <v>1</v>
      </c>
      <c r="K182" s="24">
        <f t="shared" si="39"/>
        <v>146</v>
      </c>
    </row>
    <row r="183" spans="1:11" x14ac:dyDescent="0.3">
      <c r="A183" s="101" t="s">
        <v>836</v>
      </c>
      <c r="B183" s="91" t="s">
        <v>612</v>
      </c>
      <c r="C183" s="10" t="s">
        <v>71</v>
      </c>
      <c r="D183" s="58"/>
      <c r="E183" s="187" t="s">
        <v>614</v>
      </c>
      <c r="F183" s="10">
        <v>1</v>
      </c>
      <c r="G183" s="75">
        <v>698</v>
      </c>
      <c r="H183" s="27">
        <v>0.5</v>
      </c>
      <c r="I183" s="26">
        <f t="shared" si="37"/>
        <v>349</v>
      </c>
      <c r="J183" s="25">
        <f t="shared" si="38"/>
        <v>1</v>
      </c>
      <c r="K183" s="24">
        <f t="shared" si="39"/>
        <v>349</v>
      </c>
    </row>
    <row r="184" spans="1:11" x14ac:dyDescent="0.3">
      <c r="A184" s="101" t="s">
        <v>836</v>
      </c>
      <c r="B184" s="15" t="s">
        <v>346</v>
      </c>
      <c r="C184" s="10" t="s">
        <v>71</v>
      </c>
      <c r="D184" s="58"/>
      <c r="E184" s="187" t="s">
        <v>345</v>
      </c>
      <c r="F184" s="10">
        <v>1</v>
      </c>
      <c r="G184" s="75">
        <v>292</v>
      </c>
      <c r="H184" s="27">
        <v>0.5</v>
      </c>
      <c r="I184" s="26">
        <f t="shared" si="37"/>
        <v>146</v>
      </c>
      <c r="J184" s="25">
        <f t="shared" si="38"/>
        <v>1</v>
      </c>
      <c r="K184" s="24">
        <f t="shared" si="39"/>
        <v>146</v>
      </c>
    </row>
    <row r="185" spans="1:11" x14ac:dyDescent="0.3">
      <c r="A185" s="101" t="s">
        <v>836</v>
      </c>
      <c r="B185" s="15" t="s">
        <v>344</v>
      </c>
      <c r="C185" s="10" t="s">
        <v>71</v>
      </c>
      <c r="D185" s="58"/>
      <c r="E185" s="187" t="s">
        <v>343</v>
      </c>
      <c r="F185" s="10">
        <v>1</v>
      </c>
      <c r="G185" s="75">
        <v>767</v>
      </c>
      <c r="H185" s="27">
        <v>0.5</v>
      </c>
      <c r="I185" s="26">
        <f t="shared" si="37"/>
        <v>383.5</v>
      </c>
      <c r="J185" s="25">
        <f t="shared" si="38"/>
        <v>1</v>
      </c>
      <c r="K185" s="24">
        <f t="shared" si="39"/>
        <v>383.5</v>
      </c>
    </row>
    <row r="186" spans="1:11" x14ac:dyDescent="0.3">
      <c r="A186" s="101" t="s">
        <v>836</v>
      </c>
      <c r="B186" s="28" t="s">
        <v>342</v>
      </c>
      <c r="C186" s="10" t="s">
        <v>71</v>
      </c>
      <c r="D186" s="57"/>
      <c r="E186" s="187" t="s">
        <v>341</v>
      </c>
      <c r="F186" s="10">
        <v>1</v>
      </c>
      <c r="G186" s="75">
        <v>290</v>
      </c>
      <c r="H186" s="27">
        <v>0.5</v>
      </c>
      <c r="I186" s="26">
        <f t="shared" si="37"/>
        <v>145</v>
      </c>
      <c r="J186" s="25">
        <f t="shared" si="38"/>
        <v>1</v>
      </c>
      <c r="K186" s="24">
        <f t="shared" si="39"/>
        <v>145</v>
      </c>
    </row>
    <row r="187" spans="1:11" x14ac:dyDescent="0.3">
      <c r="A187" s="101" t="s">
        <v>836</v>
      </c>
      <c r="B187" s="15" t="s">
        <v>340</v>
      </c>
      <c r="C187" s="10" t="s">
        <v>71</v>
      </c>
      <c r="D187" s="58"/>
      <c r="E187" s="187" t="s">
        <v>339</v>
      </c>
      <c r="F187" s="10">
        <v>1</v>
      </c>
      <c r="G187" s="75">
        <v>655</v>
      </c>
      <c r="H187" s="27">
        <v>0.5</v>
      </c>
      <c r="I187" s="26">
        <f t="shared" si="37"/>
        <v>327.5</v>
      </c>
      <c r="J187" s="25">
        <f t="shared" si="38"/>
        <v>1</v>
      </c>
      <c r="K187" s="24">
        <f t="shared" si="39"/>
        <v>327.5</v>
      </c>
    </row>
    <row r="188" spans="1:11" x14ac:dyDescent="0.3">
      <c r="A188" s="101" t="s">
        <v>836</v>
      </c>
      <c r="B188" s="28" t="s">
        <v>338</v>
      </c>
      <c r="C188" s="10" t="s">
        <v>71</v>
      </c>
      <c r="D188" s="58"/>
      <c r="E188" s="187" t="s">
        <v>221</v>
      </c>
      <c r="F188" s="10">
        <v>1</v>
      </c>
      <c r="G188" s="75">
        <v>655</v>
      </c>
      <c r="H188" s="27">
        <v>0.5</v>
      </c>
      <c r="I188" s="26">
        <f t="shared" si="37"/>
        <v>327.5</v>
      </c>
      <c r="J188" s="25">
        <f t="shared" si="38"/>
        <v>1</v>
      </c>
      <c r="K188" s="24">
        <f t="shared" si="39"/>
        <v>327.5</v>
      </c>
    </row>
    <row r="189" spans="1:11" x14ac:dyDescent="0.3">
      <c r="A189" s="101" t="s">
        <v>836</v>
      </c>
      <c r="B189" s="15" t="s">
        <v>337</v>
      </c>
      <c r="C189" s="10" t="s">
        <v>71</v>
      </c>
      <c r="D189" s="58"/>
      <c r="E189" s="187" t="s">
        <v>336</v>
      </c>
      <c r="F189" s="10">
        <v>1</v>
      </c>
      <c r="G189" s="75">
        <v>1580</v>
      </c>
      <c r="H189" s="27">
        <v>0.5</v>
      </c>
      <c r="I189" s="26">
        <f t="shared" si="37"/>
        <v>790</v>
      </c>
      <c r="J189" s="25">
        <f t="shared" si="38"/>
        <v>1</v>
      </c>
      <c r="K189" s="24">
        <f t="shared" si="39"/>
        <v>790</v>
      </c>
    </row>
    <row r="190" spans="1:11" x14ac:dyDescent="0.3">
      <c r="A190" s="101" t="s">
        <v>836</v>
      </c>
      <c r="B190" s="65" t="s">
        <v>335</v>
      </c>
      <c r="C190" s="10" t="s">
        <v>71</v>
      </c>
      <c r="D190" s="58"/>
      <c r="E190" s="187" t="s">
        <v>334</v>
      </c>
      <c r="F190" s="10">
        <v>1</v>
      </c>
      <c r="G190" s="75">
        <v>1580</v>
      </c>
      <c r="H190" s="27">
        <v>0.5</v>
      </c>
      <c r="I190" s="26">
        <f t="shared" si="37"/>
        <v>790</v>
      </c>
      <c r="J190" s="25">
        <f t="shared" si="38"/>
        <v>1</v>
      </c>
      <c r="K190" s="24">
        <f t="shared" si="39"/>
        <v>790</v>
      </c>
    </row>
    <row r="191" spans="1:11" x14ac:dyDescent="0.3">
      <c r="A191" s="101" t="s">
        <v>836</v>
      </c>
      <c r="B191" s="65" t="s">
        <v>333</v>
      </c>
      <c r="C191" s="10" t="s">
        <v>71</v>
      </c>
      <c r="D191" s="58"/>
      <c r="E191" s="187" t="s">
        <v>332</v>
      </c>
      <c r="F191" s="10">
        <v>1</v>
      </c>
      <c r="G191" s="75">
        <v>1570</v>
      </c>
      <c r="H191" s="27">
        <v>0.5</v>
      </c>
      <c r="I191" s="26">
        <f t="shared" si="37"/>
        <v>785</v>
      </c>
      <c r="J191" s="25">
        <f t="shared" si="38"/>
        <v>1</v>
      </c>
      <c r="K191" s="24">
        <f t="shared" si="39"/>
        <v>785</v>
      </c>
    </row>
    <row r="192" spans="1:11" x14ac:dyDescent="0.3">
      <c r="A192" s="101" t="s">
        <v>836</v>
      </c>
      <c r="B192" s="28" t="s">
        <v>331</v>
      </c>
      <c r="C192" s="10" t="s">
        <v>71</v>
      </c>
      <c r="D192" s="58"/>
      <c r="E192" s="187" t="s">
        <v>330</v>
      </c>
      <c r="F192" s="10">
        <v>1</v>
      </c>
      <c r="G192" s="75">
        <v>2760</v>
      </c>
      <c r="H192" s="27">
        <v>0.5</v>
      </c>
      <c r="I192" s="26">
        <f t="shared" si="37"/>
        <v>1380</v>
      </c>
      <c r="J192" s="25">
        <f t="shared" si="38"/>
        <v>1</v>
      </c>
      <c r="K192" s="24">
        <f t="shared" si="39"/>
        <v>1380</v>
      </c>
    </row>
    <row r="193" spans="1:11" x14ac:dyDescent="0.3">
      <c r="A193" s="101" t="s">
        <v>836</v>
      </c>
      <c r="B193" s="28"/>
      <c r="C193" s="10"/>
      <c r="D193" s="58"/>
      <c r="E193" s="187"/>
      <c r="F193" s="10"/>
      <c r="G193" s="26"/>
      <c r="H193" s="27"/>
      <c r="I193" s="26"/>
      <c r="J193" s="25"/>
      <c r="K193" s="24"/>
    </row>
    <row r="194" spans="1:11" x14ac:dyDescent="0.3">
      <c r="A194" s="101" t="s">
        <v>836</v>
      </c>
      <c r="B194" s="28" t="s">
        <v>749</v>
      </c>
      <c r="C194" s="10" t="s">
        <v>71</v>
      </c>
      <c r="D194" s="10" t="s">
        <v>733</v>
      </c>
      <c r="E194" s="187" t="s">
        <v>752</v>
      </c>
      <c r="F194" s="10">
        <v>1</v>
      </c>
      <c r="G194" s="75">
        <v>2890</v>
      </c>
      <c r="H194" s="27">
        <v>0.5</v>
      </c>
      <c r="I194" s="26">
        <f>(G194*(100%-H194))*F194</f>
        <v>1445</v>
      </c>
      <c r="J194" s="25">
        <f t="shared" ref="J194" si="40">$K$5</f>
        <v>1</v>
      </c>
      <c r="K194" s="24">
        <f t="shared" ref="K194:K198" si="41">I194/$K$5</f>
        <v>1445</v>
      </c>
    </row>
    <row r="195" spans="1:11" x14ac:dyDescent="0.3">
      <c r="A195" s="101" t="s">
        <v>836</v>
      </c>
      <c r="B195" s="28" t="s">
        <v>750</v>
      </c>
      <c r="C195" s="10" t="s">
        <v>71</v>
      </c>
      <c r="D195" s="10" t="s">
        <v>733</v>
      </c>
      <c r="E195" s="187" t="s">
        <v>753</v>
      </c>
      <c r="F195" s="10">
        <v>1</v>
      </c>
      <c r="G195" s="75">
        <v>3190</v>
      </c>
      <c r="H195" s="27">
        <v>0.5</v>
      </c>
      <c r="I195" s="26">
        <f>(G195*(100%-H195))*F195</f>
        <v>1595</v>
      </c>
      <c r="J195" s="25">
        <v>1</v>
      </c>
      <c r="K195" s="24">
        <f t="shared" si="41"/>
        <v>1595</v>
      </c>
    </row>
    <row r="196" spans="1:11" x14ac:dyDescent="0.3">
      <c r="A196" s="101" t="s">
        <v>836</v>
      </c>
      <c r="B196" s="28" t="s">
        <v>751</v>
      </c>
      <c r="C196" s="10" t="s">
        <v>71</v>
      </c>
      <c r="D196" s="10" t="s">
        <v>733</v>
      </c>
      <c r="E196" s="187" t="s">
        <v>754</v>
      </c>
      <c r="F196" s="10">
        <v>1</v>
      </c>
      <c r="G196" s="75">
        <v>3680</v>
      </c>
      <c r="H196" s="27">
        <v>0.5</v>
      </c>
      <c r="I196" s="26">
        <f>(G196*(100%-H196))*F196</f>
        <v>1840</v>
      </c>
      <c r="J196" s="25">
        <v>1</v>
      </c>
      <c r="K196" s="24">
        <f t="shared" si="41"/>
        <v>1840</v>
      </c>
    </row>
    <row r="197" spans="1:11" x14ac:dyDescent="0.3">
      <c r="A197" s="101" t="s">
        <v>836</v>
      </c>
      <c r="B197" s="28" t="s">
        <v>755</v>
      </c>
      <c r="C197" s="10" t="s">
        <v>71</v>
      </c>
      <c r="D197" s="10" t="s">
        <v>757</v>
      </c>
      <c r="E197" s="187" t="s">
        <v>759</v>
      </c>
      <c r="F197" s="10">
        <v>1</v>
      </c>
      <c r="G197" s="75">
        <v>275</v>
      </c>
      <c r="H197" s="27">
        <v>0.5</v>
      </c>
      <c r="I197" s="26">
        <f>(G197*(100%-H197))*F197</f>
        <v>137.5</v>
      </c>
      <c r="J197" s="25">
        <v>1</v>
      </c>
      <c r="K197" s="24">
        <f t="shared" si="41"/>
        <v>137.5</v>
      </c>
    </row>
    <row r="198" spans="1:11" x14ac:dyDescent="0.3">
      <c r="A198" s="101" t="s">
        <v>836</v>
      </c>
      <c r="B198" s="28" t="s">
        <v>760</v>
      </c>
      <c r="C198" s="10" t="s">
        <v>71</v>
      </c>
      <c r="D198" s="10" t="s">
        <v>761</v>
      </c>
      <c r="E198" s="187" t="s">
        <v>302</v>
      </c>
      <c r="F198" s="10">
        <v>1</v>
      </c>
      <c r="G198" s="75">
        <v>1230</v>
      </c>
      <c r="H198" s="27">
        <v>0.5</v>
      </c>
      <c r="I198" s="26">
        <f>(G198*(100%-H198))*F198</f>
        <v>615</v>
      </c>
      <c r="J198" s="25">
        <v>1</v>
      </c>
      <c r="K198" s="24">
        <f t="shared" si="41"/>
        <v>615</v>
      </c>
    </row>
    <row r="199" spans="1:11" x14ac:dyDescent="0.3">
      <c r="A199" s="101" t="s">
        <v>836</v>
      </c>
      <c r="B199" s="28"/>
      <c r="C199" s="10"/>
      <c r="D199" s="58"/>
      <c r="E199" s="194"/>
      <c r="F199" s="10"/>
      <c r="G199" s="26"/>
      <c r="H199" s="27"/>
      <c r="I199" s="26"/>
      <c r="J199" s="25"/>
      <c r="K199" s="24"/>
    </row>
    <row r="200" spans="1:11" x14ac:dyDescent="0.3">
      <c r="A200" s="101" t="s">
        <v>836</v>
      </c>
      <c r="B200" s="28" t="s">
        <v>746</v>
      </c>
      <c r="C200" s="10" t="s">
        <v>71</v>
      </c>
      <c r="D200" s="10" t="s">
        <v>733</v>
      </c>
      <c r="E200" s="187" t="s">
        <v>730</v>
      </c>
      <c r="F200" s="10">
        <v>1</v>
      </c>
      <c r="G200" s="75">
        <v>3760</v>
      </c>
      <c r="H200" s="27">
        <v>0.5</v>
      </c>
      <c r="I200" s="26">
        <f>(G200*(100%-H200))*F200</f>
        <v>1880</v>
      </c>
      <c r="J200" s="25">
        <f t="shared" si="38"/>
        <v>1</v>
      </c>
      <c r="K200" s="24">
        <f t="shared" si="39"/>
        <v>1880</v>
      </c>
    </row>
    <row r="201" spans="1:11" x14ac:dyDescent="0.3">
      <c r="A201" s="101" t="s">
        <v>836</v>
      </c>
      <c r="B201" s="28" t="s">
        <v>747</v>
      </c>
      <c r="C201" s="10" t="s">
        <v>71</v>
      </c>
      <c r="D201" s="10" t="s">
        <v>733</v>
      </c>
      <c r="E201" s="187" t="s">
        <v>731</v>
      </c>
      <c r="F201" s="10">
        <v>1</v>
      </c>
      <c r="G201" s="75">
        <v>4130</v>
      </c>
      <c r="H201" s="27">
        <v>0.5</v>
      </c>
      <c r="I201" s="26">
        <f>(G201*(100%-H201))*F201</f>
        <v>2065</v>
      </c>
      <c r="J201" s="25">
        <v>1</v>
      </c>
      <c r="K201" s="24">
        <f t="shared" si="39"/>
        <v>2065</v>
      </c>
    </row>
    <row r="202" spans="1:11" x14ac:dyDescent="0.3">
      <c r="A202" s="101" t="s">
        <v>836</v>
      </c>
      <c r="B202" s="28" t="s">
        <v>748</v>
      </c>
      <c r="C202" s="10" t="s">
        <v>71</v>
      </c>
      <c r="D202" s="10" t="s">
        <v>733</v>
      </c>
      <c r="E202" s="187" t="s">
        <v>732</v>
      </c>
      <c r="F202" s="10">
        <v>1</v>
      </c>
      <c r="G202" s="75">
        <v>4790</v>
      </c>
      <c r="H202" s="27">
        <v>0.5</v>
      </c>
      <c r="I202" s="26">
        <f>(G202*(100%-H202))*F202</f>
        <v>2395</v>
      </c>
      <c r="J202" s="25">
        <v>1</v>
      </c>
      <c r="K202" s="24">
        <f t="shared" si="39"/>
        <v>2395</v>
      </c>
    </row>
    <row r="203" spans="1:11" x14ac:dyDescent="0.3">
      <c r="A203" s="101" t="s">
        <v>836</v>
      </c>
      <c r="B203" s="28" t="s">
        <v>758</v>
      </c>
      <c r="C203" s="10" t="s">
        <v>71</v>
      </c>
      <c r="D203" s="10" t="s">
        <v>757</v>
      </c>
      <c r="E203" s="187" t="s">
        <v>756</v>
      </c>
      <c r="F203" s="10">
        <v>1</v>
      </c>
      <c r="G203" s="75">
        <v>360</v>
      </c>
      <c r="H203" s="27">
        <v>0.5</v>
      </c>
      <c r="I203" s="26">
        <f>(G203*(100%-H203))*F203</f>
        <v>180</v>
      </c>
      <c r="J203" s="25">
        <v>1</v>
      </c>
      <c r="K203" s="24">
        <f t="shared" si="39"/>
        <v>180</v>
      </c>
    </row>
    <row r="204" spans="1:11" x14ac:dyDescent="0.3">
      <c r="A204" s="101" t="s">
        <v>836</v>
      </c>
      <c r="B204" s="28" t="s">
        <v>762</v>
      </c>
      <c r="C204" s="10" t="s">
        <v>71</v>
      </c>
      <c r="D204" s="10" t="s">
        <v>761</v>
      </c>
      <c r="E204" s="187" t="s">
        <v>302</v>
      </c>
      <c r="F204" s="10">
        <v>1</v>
      </c>
      <c r="G204" s="75">
        <v>1230</v>
      </c>
      <c r="H204" s="27">
        <v>0.5</v>
      </c>
      <c r="I204" s="26">
        <f>(G204*(100%-H204))*F204</f>
        <v>615</v>
      </c>
      <c r="J204" s="25">
        <v>1</v>
      </c>
      <c r="K204" s="24">
        <f t="shared" si="39"/>
        <v>615</v>
      </c>
    </row>
    <row r="205" spans="1:11" x14ac:dyDescent="0.3">
      <c r="A205" s="101" t="s">
        <v>836</v>
      </c>
      <c r="B205" s="28"/>
      <c r="C205" s="10"/>
      <c r="D205" s="58"/>
      <c r="E205" s="194"/>
      <c r="F205" s="10"/>
      <c r="G205" s="26"/>
      <c r="H205" s="27"/>
      <c r="I205" s="26"/>
      <c r="J205" s="25"/>
      <c r="K205" s="24"/>
    </row>
    <row r="206" spans="1:11" x14ac:dyDescent="0.3">
      <c r="A206" s="101" t="s">
        <v>836</v>
      </c>
      <c r="B206" s="15" t="s">
        <v>329</v>
      </c>
      <c r="C206" s="10" t="s">
        <v>71</v>
      </c>
      <c r="D206" s="58"/>
      <c r="E206" s="187" t="s">
        <v>328</v>
      </c>
      <c r="F206" s="10">
        <v>1</v>
      </c>
      <c r="G206" s="75">
        <v>315</v>
      </c>
      <c r="H206" s="27">
        <v>0.5</v>
      </c>
      <c r="I206" s="26">
        <f t="shared" ref="I206:I218" si="42">(G206*(100%-H206))*F206</f>
        <v>157.5</v>
      </c>
      <c r="J206" s="25">
        <f t="shared" si="36"/>
        <v>1</v>
      </c>
      <c r="K206" s="24">
        <f t="shared" ref="K206:K218" si="43">I206/$K$5</f>
        <v>157.5</v>
      </c>
    </row>
    <row r="207" spans="1:11" x14ac:dyDescent="0.3">
      <c r="A207" s="101" t="s">
        <v>836</v>
      </c>
      <c r="B207" s="15" t="s">
        <v>327</v>
      </c>
      <c r="C207" s="10" t="s">
        <v>71</v>
      </c>
      <c r="D207" s="58"/>
      <c r="E207" s="187" t="s">
        <v>326</v>
      </c>
      <c r="F207" s="10">
        <v>1</v>
      </c>
      <c r="G207" s="75">
        <v>404</v>
      </c>
      <c r="H207" s="27">
        <v>0.5</v>
      </c>
      <c r="I207" s="26">
        <f t="shared" si="42"/>
        <v>202</v>
      </c>
      <c r="J207" s="25">
        <f t="shared" si="36"/>
        <v>1</v>
      </c>
      <c r="K207" s="24">
        <f t="shared" si="43"/>
        <v>202</v>
      </c>
    </row>
    <row r="208" spans="1:11" x14ac:dyDescent="0.3">
      <c r="A208" s="101" t="s">
        <v>836</v>
      </c>
      <c r="B208" s="28" t="s">
        <v>325</v>
      </c>
      <c r="C208" s="10" t="s">
        <v>71</v>
      </c>
      <c r="D208" s="58"/>
      <c r="E208" s="187" t="s">
        <v>324</v>
      </c>
      <c r="F208" s="10">
        <v>1</v>
      </c>
      <c r="G208" s="75">
        <v>4770</v>
      </c>
      <c r="H208" s="27">
        <v>0.4</v>
      </c>
      <c r="I208" s="26">
        <f t="shared" si="42"/>
        <v>2862</v>
      </c>
      <c r="J208" s="25">
        <f t="shared" si="36"/>
        <v>1</v>
      </c>
      <c r="K208" s="24">
        <f t="shared" si="43"/>
        <v>2862</v>
      </c>
    </row>
    <row r="209" spans="1:11" x14ac:dyDescent="0.3">
      <c r="A209" s="101" t="s">
        <v>836</v>
      </c>
      <c r="B209" s="28" t="s">
        <v>323</v>
      </c>
      <c r="C209" s="10" t="s">
        <v>71</v>
      </c>
      <c r="D209" s="58"/>
      <c r="E209" s="187" t="s">
        <v>322</v>
      </c>
      <c r="F209" s="10">
        <v>1</v>
      </c>
      <c r="G209" s="75">
        <v>5480</v>
      </c>
      <c r="H209" s="27">
        <v>0.4</v>
      </c>
      <c r="I209" s="26">
        <f t="shared" si="42"/>
        <v>3288</v>
      </c>
      <c r="J209" s="25">
        <f t="shared" si="36"/>
        <v>1</v>
      </c>
      <c r="K209" s="24">
        <f t="shared" si="43"/>
        <v>3288</v>
      </c>
    </row>
    <row r="210" spans="1:11" x14ac:dyDescent="0.3">
      <c r="A210" s="101" t="s">
        <v>836</v>
      </c>
      <c r="B210" s="15" t="s">
        <v>321</v>
      </c>
      <c r="C210" s="10" t="s">
        <v>71</v>
      </c>
      <c r="D210" s="58"/>
      <c r="E210" s="187" t="s">
        <v>320</v>
      </c>
      <c r="F210" s="10">
        <v>1</v>
      </c>
      <c r="G210" s="75">
        <v>5610</v>
      </c>
      <c r="H210" s="27">
        <v>0.4</v>
      </c>
      <c r="I210" s="26">
        <f t="shared" si="42"/>
        <v>3366</v>
      </c>
      <c r="J210" s="25">
        <f t="shared" si="36"/>
        <v>1</v>
      </c>
      <c r="K210" s="24">
        <f t="shared" si="43"/>
        <v>3366</v>
      </c>
    </row>
    <row r="211" spans="1:11" x14ac:dyDescent="0.3">
      <c r="A211" s="101" t="s">
        <v>836</v>
      </c>
      <c r="B211" s="15" t="s">
        <v>319</v>
      </c>
      <c r="C211" s="10" t="s">
        <v>71</v>
      </c>
      <c r="D211" s="58"/>
      <c r="E211" s="187" t="s">
        <v>318</v>
      </c>
      <c r="F211" s="10">
        <v>1</v>
      </c>
      <c r="G211" s="75">
        <v>6680</v>
      </c>
      <c r="H211" s="27">
        <v>0.4</v>
      </c>
      <c r="I211" s="26">
        <f t="shared" si="42"/>
        <v>4008</v>
      </c>
      <c r="J211" s="25">
        <f t="shared" si="36"/>
        <v>1</v>
      </c>
      <c r="K211" s="24">
        <f t="shared" si="43"/>
        <v>4008</v>
      </c>
    </row>
    <row r="212" spans="1:11" x14ac:dyDescent="0.3">
      <c r="A212" s="101" t="s">
        <v>836</v>
      </c>
      <c r="B212" s="15" t="s">
        <v>317</v>
      </c>
      <c r="C212" s="10" t="s">
        <v>71</v>
      </c>
      <c r="D212" s="58"/>
      <c r="E212" s="187" t="s">
        <v>316</v>
      </c>
      <c r="F212" s="10">
        <v>1</v>
      </c>
      <c r="G212" s="75">
        <v>8000</v>
      </c>
      <c r="H212" s="27">
        <v>0.4</v>
      </c>
      <c r="I212" s="26">
        <f t="shared" si="42"/>
        <v>4800</v>
      </c>
      <c r="J212" s="25">
        <f t="shared" si="36"/>
        <v>1</v>
      </c>
      <c r="K212" s="24">
        <f t="shared" si="43"/>
        <v>4800</v>
      </c>
    </row>
    <row r="213" spans="1:11" x14ac:dyDescent="0.3">
      <c r="A213" s="101" t="s">
        <v>836</v>
      </c>
      <c r="B213" s="91" t="s">
        <v>315</v>
      </c>
      <c r="C213" s="10" t="s">
        <v>71</v>
      </c>
      <c r="D213" s="58"/>
      <c r="E213" s="187" t="s">
        <v>314</v>
      </c>
      <c r="F213" s="10">
        <v>1</v>
      </c>
      <c r="G213" s="75">
        <v>9530</v>
      </c>
      <c r="H213" s="27">
        <v>0.4</v>
      </c>
      <c r="I213" s="26">
        <f t="shared" si="42"/>
        <v>5718</v>
      </c>
      <c r="J213" s="25">
        <f t="shared" si="36"/>
        <v>1</v>
      </c>
      <c r="K213" s="24">
        <f t="shared" si="43"/>
        <v>5718</v>
      </c>
    </row>
    <row r="214" spans="1:11" x14ac:dyDescent="0.3">
      <c r="A214" s="101" t="s">
        <v>836</v>
      </c>
      <c r="B214" s="28" t="s">
        <v>313</v>
      </c>
      <c r="C214" s="10" t="s">
        <v>71</v>
      </c>
      <c r="D214" s="58"/>
      <c r="E214" s="187" t="s">
        <v>312</v>
      </c>
      <c r="F214" s="10">
        <v>1</v>
      </c>
      <c r="G214" s="75">
        <v>12700</v>
      </c>
      <c r="H214" s="27">
        <v>0.4</v>
      </c>
      <c r="I214" s="26">
        <f t="shared" si="42"/>
        <v>7620</v>
      </c>
      <c r="J214" s="25">
        <f t="shared" si="36"/>
        <v>1</v>
      </c>
      <c r="K214" s="24">
        <f t="shared" si="43"/>
        <v>7620</v>
      </c>
    </row>
    <row r="215" spans="1:11" x14ac:dyDescent="0.3">
      <c r="A215" s="101" t="s">
        <v>836</v>
      </c>
      <c r="B215" s="28" t="s">
        <v>307</v>
      </c>
      <c r="C215" s="10" t="s">
        <v>71</v>
      </c>
      <c r="D215" s="58"/>
      <c r="E215" s="187" t="s">
        <v>306</v>
      </c>
      <c r="F215" s="10">
        <v>1</v>
      </c>
      <c r="G215" s="75">
        <v>5220</v>
      </c>
      <c r="H215" s="27">
        <v>0.5</v>
      </c>
      <c r="I215" s="26">
        <f t="shared" si="42"/>
        <v>2610</v>
      </c>
      <c r="J215" s="25">
        <f t="shared" si="36"/>
        <v>1</v>
      </c>
      <c r="K215" s="24">
        <f t="shared" si="43"/>
        <v>2610</v>
      </c>
    </row>
    <row r="216" spans="1:11" x14ac:dyDescent="0.3">
      <c r="A216" s="101" t="s">
        <v>836</v>
      </c>
      <c r="B216" s="28" t="s">
        <v>305</v>
      </c>
      <c r="C216" s="1" t="s">
        <v>71</v>
      </c>
      <c r="D216" s="58"/>
      <c r="E216" s="187" t="s">
        <v>615</v>
      </c>
      <c r="F216" s="10">
        <v>1</v>
      </c>
      <c r="G216" s="75">
        <v>5370</v>
      </c>
      <c r="H216" s="27">
        <v>0.5</v>
      </c>
      <c r="I216" s="26">
        <f t="shared" si="42"/>
        <v>2685</v>
      </c>
      <c r="J216" s="25">
        <f t="shared" si="36"/>
        <v>1</v>
      </c>
      <c r="K216" s="24">
        <f t="shared" si="43"/>
        <v>2685</v>
      </c>
    </row>
    <row r="217" spans="1:11" x14ac:dyDescent="0.3">
      <c r="A217" s="101" t="s">
        <v>836</v>
      </c>
      <c r="B217" s="28" t="s">
        <v>304</v>
      </c>
      <c r="C217" s="1" t="s">
        <v>71</v>
      </c>
      <c r="D217" s="58"/>
      <c r="E217" s="187" t="s">
        <v>303</v>
      </c>
      <c r="F217" s="10">
        <v>1</v>
      </c>
      <c r="G217" s="75">
        <v>12600</v>
      </c>
      <c r="H217" s="27">
        <v>0.5</v>
      </c>
      <c r="I217" s="26">
        <f t="shared" si="42"/>
        <v>6300</v>
      </c>
      <c r="J217" s="25">
        <f t="shared" si="36"/>
        <v>1</v>
      </c>
      <c r="K217" s="24">
        <f t="shared" si="43"/>
        <v>6300</v>
      </c>
    </row>
    <row r="218" spans="1:11" x14ac:dyDescent="0.3">
      <c r="A218" s="101" t="s">
        <v>836</v>
      </c>
      <c r="B218" s="28" t="s">
        <v>616</v>
      </c>
      <c r="C218" s="1" t="s">
        <v>71</v>
      </c>
      <c r="D218" s="58"/>
      <c r="E218" s="187" t="s">
        <v>302</v>
      </c>
      <c r="F218" s="10">
        <v>1</v>
      </c>
      <c r="G218" s="75">
        <v>1230</v>
      </c>
      <c r="H218" s="27">
        <v>0.5</v>
      </c>
      <c r="I218" s="26">
        <f t="shared" si="42"/>
        <v>615</v>
      </c>
      <c r="J218" s="25">
        <f t="shared" si="36"/>
        <v>1</v>
      </c>
      <c r="K218" s="24">
        <f t="shared" si="43"/>
        <v>615</v>
      </c>
    </row>
    <row r="219" spans="1:11" x14ac:dyDescent="0.3">
      <c r="A219" s="101" t="s">
        <v>836</v>
      </c>
      <c r="B219" s="28"/>
      <c r="C219" s="1"/>
      <c r="D219" s="58"/>
      <c r="E219" s="187"/>
      <c r="F219" s="10"/>
      <c r="G219" s="26"/>
      <c r="H219" s="27"/>
      <c r="I219" s="26"/>
      <c r="J219" s="25"/>
      <c r="K219" s="24"/>
    </row>
    <row r="220" spans="1:11" x14ac:dyDescent="0.3">
      <c r="A220" s="101" t="s">
        <v>836</v>
      </c>
      <c r="B220" s="28" t="s">
        <v>676</v>
      </c>
      <c r="C220" s="1" t="s">
        <v>71</v>
      </c>
      <c r="D220" s="58"/>
      <c r="E220" s="187" t="s">
        <v>683</v>
      </c>
      <c r="F220" s="10">
        <v>1</v>
      </c>
      <c r="G220" s="75">
        <v>3960</v>
      </c>
      <c r="H220" s="27">
        <v>0.5</v>
      </c>
      <c r="I220" s="26">
        <f t="shared" ref="I220:I226" si="44">(G220*(100%-H220))*F220</f>
        <v>1980</v>
      </c>
      <c r="J220" s="25">
        <f t="shared" ref="J220:J226" si="45">$K$5</f>
        <v>1</v>
      </c>
      <c r="K220" s="24">
        <f t="shared" ref="K220:K226" si="46">I220/$K$5</f>
        <v>1980</v>
      </c>
    </row>
    <row r="221" spans="1:11" x14ac:dyDescent="0.3">
      <c r="A221" s="101" t="s">
        <v>836</v>
      </c>
      <c r="B221" s="28" t="s">
        <v>677</v>
      </c>
      <c r="C221" s="1" t="s">
        <v>71</v>
      </c>
      <c r="D221" s="58"/>
      <c r="E221" s="187" t="s">
        <v>684</v>
      </c>
      <c r="F221" s="10">
        <v>1</v>
      </c>
      <c r="G221" s="75">
        <v>4420</v>
      </c>
      <c r="H221" s="27">
        <v>0.5</v>
      </c>
      <c r="I221" s="26">
        <f t="shared" si="44"/>
        <v>2210</v>
      </c>
      <c r="J221" s="25">
        <f t="shared" si="45"/>
        <v>1</v>
      </c>
      <c r="K221" s="24">
        <f t="shared" si="46"/>
        <v>2210</v>
      </c>
    </row>
    <row r="222" spans="1:11" x14ac:dyDescent="0.3">
      <c r="A222" s="101" t="s">
        <v>836</v>
      </c>
      <c r="B222" s="28" t="s">
        <v>678</v>
      </c>
      <c r="C222" s="1" t="s">
        <v>71</v>
      </c>
      <c r="D222" s="58"/>
      <c r="E222" s="187" t="s">
        <v>685</v>
      </c>
      <c r="F222" s="10">
        <v>1</v>
      </c>
      <c r="G222" s="75">
        <v>4630</v>
      </c>
      <c r="H222" s="27">
        <v>0.5</v>
      </c>
      <c r="I222" s="26">
        <f t="shared" si="44"/>
        <v>2315</v>
      </c>
      <c r="J222" s="25">
        <f t="shared" si="45"/>
        <v>1</v>
      </c>
      <c r="K222" s="24">
        <f t="shared" si="46"/>
        <v>2315</v>
      </c>
    </row>
    <row r="223" spans="1:11" x14ac:dyDescent="0.3">
      <c r="A223" s="101" t="s">
        <v>836</v>
      </c>
      <c r="B223" s="28" t="s">
        <v>679</v>
      </c>
      <c r="C223" s="1" t="s">
        <v>71</v>
      </c>
      <c r="D223" s="58"/>
      <c r="E223" s="187" t="s">
        <v>686</v>
      </c>
      <c r="F223" s="10">
        <v>1</v>
      </c>
      <c r="G223" s="75">
        <v>5750</v>
      </c>
      <c r="H223" s="27">
        <v>0.5</v>
      </c>
      <c r="I223" s="26">
        <f t="shared" si="44"/>
        <v>2875</v>
      </c>
      <c r="J223" s="25">
        <f t="shared" si="45"/>
        <v>1</v>
      </c>
      <c r="K223" s="24">
        <f t="shared" si="46"/>
        <v>2875</v>
      </c>
    </row>
    <row r="224" spans="1:11" x14ac:dyDescent="0.3">
      <c r="A224" s="101" t="s">
        <v>836</v>
      </c>
      <c r="B224" s="28" t="s">
        <v>680</v>
      </c>
      <c r="C224" s="1" t="s">
        <v>71</v>
      </c>
      <c r="D224" s="58"/>
      <c r="E224" s="187" t="s">
        <v>687</v>
      </c>
      <c r="F224" s="10">
        <v>1</v>
      </c>
      <c r="G224" s="75">
        <v>7720</v>
      </c>
      <c r="H224" s="27">
        <v>0.5</v>
      </c>
      <c r="I224" s="26">
        <f t="shared" si="44"/>
        <v>3860</v>
      </c>
      <c r="J224" s="25">
        <f t="shared" si="45"/>
        <v>1</v>
      </c>
      <c r="K224" s="24">
        <f t="shared" si="46"/>
        <v>3860</v>
      </c>
    </row>
    <row r="225" spans="1:11" x14ac:dyDescent="0.3">
      <c r="A225" s="101" t="s">
        <v>836</v>
      </c>
      <c r="B225" s="28" t="s">
        <v>681</v>
      </c>
      <c r="C225" s="1" t="s">
        <v>71</v>
      </c>
      <c r="D225" s="58"/>
      <c r="E225" s="187" t="s">
        <v>688</v>
      </c>
      <c r="F225" s="10">
        <v>1</v>
      </c>
      <c r="G225" s="75">
        <v>9710</v>
      </c>
      <c r="H225" s="27">
        <v>0.5</v>
      </c>
      <c r="I225" s="26">
        <f t="shared" si="44"/>
        <v>4855</v>
      </c>
      <c r="J225" s="25">
        <f t="shared" si="45"/>
        <v>1</v>
      </c>
      <c r="K225" s="24">
        <f t="shared" si="46"/>
        <v>4855</v>
      </c>
    </row>
    <row r="226" spans="1:11" x14ac:dyDescent="0.3">
      <c r="A226" s="101" t="s">
        <v>836</v>
      </c>
      <c r="B226" s="28" t="s">
        <v>682</v>
      </c>
      <c r="C226" s="1" t="s">
        <v>71</v>
      </c>
      <c r="D226" s="58"/>
      <c r="E226" s="187" t="s">
        <v>689</v>
      </c>
      <c r="F226" s="10">
        <v>1</v>
      </c>
      <c r="G226" s="75">
        <v>10800</v>
      </c>
      <c r="H226" s="27">
        <v>0.5</v>
      </c>
      <c r="I226" s="26">
        <f t="shared" si="44"/>
        <v>5400</v>
      </c>
      <c r="J226" s="25">
        <f t="shared" si="45"/>
        <v>1</v>
      </c>
      <c r="K226" s="24">
        <f t="shared" si="46"/>
        <v>5400</v>
      </c>
    </row>
    <row r="227" spans="1:11" x14ac:dyDescent="0.3">
      <c r="A227" s="101" t="s">
        <v>836</v>
      </c>
      <c r="B227" s="28"/>
      <c r="C227" s="1"/>
      <c r="D227" s="58"/>
      <c r="E227" s="187"/>
      <c r="F227" s="10"/>
      <c r="G227" s="26"/>
      <c r="H227" s="27"/>
      <c r="I227" s="26"/>
      <c r="J227" s="25"/>
      <c r="K227" s="24"/>
    </row>
    <row r="228" spans="1:11" x14ac:dyDescent="0.3">
      <c r="A228" s="101" t="s">
        <v>836</v>
      </c>
      <c r="B228" s="28" t="s">
        <v>655</v>
      </c>
      <c r="C228" s="1" t="s">
        <v>71</v>
      </c>
      <c r="D228" s="58"/>
      <c r="E228" s="187" t="s">
        <v>656</v>
      </c>
      <c r="F228" s="10">
        <v>1</v>
      </c>
      <c r="G228" s="75">
        <v>630</v>
      </c>
      <c r="H228" s="27">
        <v>0.5</v>
      </c>
      <c r="I228" s="26">
        <f>(G228*(100%-H228))*F228</f>
        <v>315</v>
      </c>
      <c r="J228" s="25">
        <f>$K$5</f>
        <v>1</v>
      </c>
      <c r="K228" s="24">
        <f>I228/$K$5</f>
        <v>315</v>
      </c>
    </row>
    <row r="229" spans="1:11" x14ac:dyDescent="0.3">
      <c r="A229" s="101" t="s">
        <v>836</v>
      </c>
      <c r="B229" s="28" t="s">
        <v>654</v>
      </c>
      <c r="C229" s="1" t="s">
        <v>71</v>
      </c>
      <c r="D229" s="58"/>
      <c r="E229" s="187" t="s">
        <v>657</v>
      </c>
      <c r="F229" s="10">
        <v>1</v>
      </c>
      <c r="G229" s="75">
        <v>696</v>
      </c>
      <c r="H229" s="27">
        <v>0.5</v>
      </c>
      <c r="I229" s="26">
        <f>(G229*(100%-H229))*F229</f>
        <v>348</v>
      </c>
      <c r="J229" s="25">
        <f>$K$5</f>
        <v>1</v>
      </c>
      <c r="K229" s="24">
        <f>I229/$K$5</f>
        <v>348</v>
      </c>
    </row>
    <row r="230" spans="1:11" x14ac:dyDescent="0.3">
      <c r="A230" s="101" t="s">
        <v>836</v>
      </c>
      <c r="B230" s="28" t="s">
        <v>653</v>
      </c>
      <c r="C230" s="1" t="s">
        <v>71</v>
      </c>
      <c r="D230" s="58"/>
      <c r="E230" s="187" t="s">
        <v>658</v>
      </c>
      <c r="F230" s="10">
        <v>1</v>
      </c>
      <c r="G230" s="75">
        <v>778</v>
      </c>
      <c r="H230" s="27">
        <v>0.5</v>
      </c>
      <c r="I230" s="26">
        <f>(G230*(100%-H230))*F230</f>
        <v>389</v>
      </c>
      <c r="J230" s="25">
        <f>$K$5</f>
        <v>1</v>
      </c>
      <c r="K230" s="24">
        <f>I230/$K$5</f>
        <v>389</v>
      </c>
    </row>
    <row r="231" spans="1:11" x14ac:dyDescent="0.3">
      <c r="A231" s="101" t="s">
        <v>836</v>
      </c>
      <c r="B231" s="28" t="s">
        <v>651</v>
      </c>
      <c r="C231" s="1" t="s">
        <v>71</v>
      </c>
      <c r="D231" s="58"/>
      <c r="E231" s="187" t="s">
        <v>652</v>
      </c>
      <c r="F231" s="10">
        <v>1</v>
      </c>
      <c r="G231" s="75">
        <v>1340</v>
      </c>
      <c r="H231" s="27">
        <v>0.5</v>
      </c>
      <c r="I231" s="26">
        <f>(G231*(100%-H231))*F231</f>
        <v>670</v>
      </c>
      <c r="J231" s="25">
        <f>$K$5</f>
        <v>1</v>
      </c>
      <c r="K231" s="24">
        <f>I231/$K$5</f>
        <v>670</v>
      </c>
    </row>
    <row r="232" spans="1:11" x14ac:dyDescent="0.3">
      <c r="A232" s="101" t="s">
        <v>836</v>
      </c>
      <c r="B232" s="28" t="s">
        <v>659</v>
      </c>
      <c r="C232" s="1" t="s">
        <v>71</v>
      </c>
      <c r="D232" s="58"/>
      <c r="E232" s="187" t="s">
        <v>660</v>
      </c>
      <c r="F232" s="10">
        <v>1</v>
      </c>
      <c r="G232" s="75">
        <v>2040</v>
      </c>
      <c r="H232" s="27">
        <v>0.5</v>
      </c>
      <c r="I232" s="26">
        <f>(G232*(100%-H232))*F232</f>
        <v>1020</v>
      </c>
      <c r="J232" s="25">
        <f>$K$5</f>
        <v>1</v>
      </c>
      <c r="K232" s="24">
        <f>I232/$K$5</f>
        <v>1020</v>
      </c>
    </row>
    <row r="233" spans="1:11" x14ac:dyDescent="0.3">
      <c r="A233" s="101" t="s">
        <v>836</v>
      </c>
      <c r="B233" s="28"/>
      <c r="C233" s="1"/>
      <c r="D233" s="58"/>
      <c r="E233" s="187"/>
      <c r="F233" s="10"/>
      <c r="G233" s="26"/>
      <c r="H233" s="27"/>
      <c r="I233" s="26"/>
      <c r="J233" s="25"/>
      <c r="K233" s="24"/>
    </row>
    <row r="234" spans="1:11" x14ac:dyDescent="0.3">
      <c r="A234" s="101" t="s">
        <v>836</v>
      </c>
      <c r="B234" s="28" t="s">
        <v>763</v>
      </c>
      <c r="C234" s="1" t="s">
        <v>39</v>
      </c>
      <c r="D234" s="58"/>
      <c r="E234" s="195" t="s">
        <v>767</v>
      </c>
      <c r="F234" s="10">
        <v>1</v>
      </c>
      <c r="G234" s="26">
        <v>485</v>
      </c>
      <c r="H234" s="27">
        <v>0.3</v>
      </c>
      <c r="I234" s="26">
        <f t="shared" ref="I234:I240" si="47">(G234*(100%-H234))*F234</f>
        <v>339.5</v>
      </c>
      <c r="J234" s="25">
        <f t="shared" ref="J234:J240" si="48">$K$5</f>
        <v>1</v>
      </c>
      <c r="K234" s="24">
        <f t="shared" ref="K234:K240" si="49">I234/$K$5</f>
        <v>339.5</v>
      </c>
    </row>
    <row r="235" spans="1:11" x14ac:dyDescent="0.3">
      <c r="A235" s="101" t="s">
        <v>836</v>
      </c>
      <c r="B235" s="28" t="s">
        <v>764</v>
      </c>
      <c r="C235" s="1" t="s">
        <v>39</v>
      </c>
      <c r="D235" s="58"/>
      <c r="E235" s="195" t="s">
        <v>768</v>
      </c>
      <c r="F235" s="10">
        <v>1</v>
      </c>
      <c r="G235" s="26">
        <v>537</v>
      </c>
      <c r="H235" s="27">
        <v>0.3</v>
      </c>
      <c r="I235" s="26">
        <f t="shared" si="47"/>
        <v>375.9</v>
      </c>
      <c r="J235" s="25">
        <f t="shared" si="48"/>
        <v>1</v>
      </c>
      <c r="K235" s="24">
        <f t="shared" si="49"/>
        <v>375.9</v>
      </c>
    </row>
    <row r="236" spans="1:11" x14ac:dyDescent="0.3">
      <c r="A236" s="101" t="s">
        <v>836</v>
      </c>
      <c r="B236" s="28" t="s">
        <v>765</v>
      </c>
      <c r="C236" s="1" t="s">
        <v>39</v>
      </c>
      <c r="D236" s="58"/>
      <c r="E236" s="195" t="s">
        <v>769</v>
      </c>
      <c r="F236" s="10">
        <v>1</v>
      </c>
      <c r="G236" s="26">
        <v>606</v>
      </c>
      <c r="H236" s="27">
        <v>0.3</v>
      </c>
      <c r="I236" s="26">
        <f t="shared" si="47"/>
        <v>424.2</v>
      </c>
      <c r="J236" s="25">
        <f t="shared" si="48"/>
        <v>1</v>
      </c>
      <c r="K236" s="24">
        <f t="shared" si="49"/>
        <v>424.2</v>
      </c>
    </row>
    <row r="237" spans="1:11" x14ac:dyDescent="0.3">
      <c r="A237" s="101" t="s">
        <v>836</v>
      </c>
      <c r="B237" s="28" t="s">
        <v>774</v>
      </c>
      <c r="C237" s="1" t="s">
        <v>39</v>
      </c>
      <c r="D237" s="58"/>
      <c r="E237" s="195" t="s">
        <v>770</v>
      </c>
      <c r="F237" s="10">
        <v>1</v>
      </c>
      <c r="G237" s="26">
        <v>676</v>
      </c>
      <c r="H237" s="27">
        <v>0.3</v>
      </c>
      <c r="I237" s="26">
        <f t="shared" si="47"/>
        <v>473.2</v>
      </c>
      <c r="J237" s="25">
        <f t="shared" si="48"/>
        <v>1</v>
      </c>
      <c r="K237" s="24">
        <f t="shared" si="49"/>
        <v>473.2</v>
      </c>
    </row>
    <row r="238" spans="1:11" x14ac:dyDescent="0.3">
      <c r="A238" s="101" t="s">
        <v>836</v>
      </c>
      <c r="B238" s="28" t="s">
        <v>766</v>
      </c>
      <c r="C238" s="1" t="s">
        <v>39</v>
      </c>
      <c r="D238" s="58"/>
      <c r="E238" s="195" t="s">
        <v>771</v>
      </c>
      <c r="F238" s="10">
        <v>1</v>
      </c>
      <c r="G238" s="26">
        <v>813</v>
      </c>
      <c r="H238" s="27">
        <v>0.3</v>
      </c>
      <c r="I238" s="26">
        <f t="shared" si="47"/>
        <v>569.09999999999991</v>
      </c>
      <c r="J238" s="25">
        <f t="shared" si="48"/>
        <v>1</v>
      </c>
      <c r="K238" s="24">
        <f t="shared" si="49"/>
        <v>569.09999999999991</v>
      </c>
    </row>
    <row r="239" spans="1:11" x14ac:dyDescent="0.3">
      <c r="A239" s="101" t="s">
        <v>836</v>
      </c>
      <c r="B239" s="28" t="s">
        <v>775</v>
      </c>
      <c r="C239" s="1" t="s">
        <v>39</v>
      </c>
      <c r="D239" s="58"/>
      <c r="E239" s="195" t="s">
        <v>776</v>
      </c>
      <c r="F239" s="10">
        <v>1</v>
      </c>
      <c r="G239" s="26">
        <v>1390</v>
      </c>
      <c r="H239" s="27">
        <v>0.3</v>
      </c>
      <c r="I239" s="26">
        <f t="shared" si="47"/>
        <v>972.99999999999989</v>
      </c>
      <c r="J239" s="25">
        <f t="shared" si="48"/>
        <v>1</v>
      </c>
      <c r="K239" s="24">
        <f t="shared" si="49"/>
        <v>972.99999999999989</v>
      </c>
    </row>
    <row r="240" spans="1:11" x14ac:dyDescent="0.3">
      <c r="A240" s="101" t="s">
        <v>836</v>
      </c>
      <c r="B240" s="28" t="s">
        <v>772</v>
      </c>
      <c r="C240" s="1" t="s">
        <v>39</v>
      </c>
      <c r="D240" s="58"/>
      <c r="E240" s="195" t="s">
        <v>773</v>
      </c>
      <c r="F240" s="10">
        <v>1</v>
      </c>
      <c r="G240" s="26">
        <v>1522</v>
      </c>
      <c r="H240" s="27">
        <v>0.3</v>
      </c>
      <c r="I240" s="26">
        <f t="shared" si="47"/>
        <v>1065.3999999999999</v>
      </c>
      <c r="J240" s="25">
        <f t="shared" si="48"/>
        <v>1</v>
      </c>
      <c r="K240" s="24">
        <f t="shared" si="49"/>
        <v>1065.3999999999999</v>
      </c>
    </row>
    <row r="241" spans="1:13" x14ac:dyDescent="0.3">
      <c r="A241" s="101" t="s">
        <v>836</v>
      </c>
      <c r="B241" s="28"/>
      <c r="C241" s="1"/>
      <c r="D241" s="58"/>
      <c r="E241" s="188"/>
      <c r="F241" s="10"/>
      <c r="G241" s="26"/>
      <c r="H241" s="27"/>
      <c r="I241" s="26"/>
      <c r="J241" s="25"/>
      <c r="K241" s="24"/>
    </row>
    <row r="242" spans="1:13" x14ac:dyDescent="0.3">
      <c r="A242" s="101" t="s">
        <v>836</v>
      </c>
      <c r="B242" s="28" t="s">
        <v>301</v>
      </c>
      <c r="C242" s="1" t="s">
        <v>71</v>
      </c>
      <c r="D242" s="57"/>
      <c r="E242" s="194" t="s">
        <v>300</v>
      </c>
      <c r="F242" s="10">
        <v>1</v>
      </c>
      <c r="G242" s="75">
        <v>169500</v>
      </c>
      <c r="H242" s="27">
        <v>0.5</v>
      </c>
      <c r="I242" s="26">
        <f t="shared" ref="I242:I255" si="50">(G242*(100%-H242))*F242</f>
        <v>84750</v>
      </c>
      <c r="J242" s="25">
        <f t="shared" ref="J242:J255" si="51">$K$5</f>
        <v>1</v>
      </c>
      <c r="K242" s="24">
        <f t="shared" ref="K242:K255" si="52">I242/$K$5</f>
        <v>84750</v>
      </c>
    </row>
    <row r="243" spans="1:13" x14ac:dyDescent="0.3">
      <c r="A243" s="101" t="s">
        <v>836</v>
      </c>
      <c r="B243" s="28" t="s">
        <v>299</v>
      </c>
      <c r="C243" s="1" t="s">
        <v>71</v>
      </c>
      <c r="D243" s="57"/>
      <c r="E243" s="187" t="s">
        <v>298</v>
      </c>
      <c r="F243" s="10">
        <v>1</v>
      </c>
      <c r="G243" s="75">
        <v>39900</v>
      </c>
      <c r="H243" s="27">
        <v>0.5</v>
      </c>
      <c r="I243" s="26">
        <f t="shared" si="50"/>
        <v>19950</v>
      </c>
      <c r="J243" s="25">
        <f t="shared" si="51"/>
        <v>1</v>
      </c>
      <c r="K243" s="24">
        <f t="shared" si="52"/>
        <v>19950</v>
      </c>
    </row>
    <row r="244" spans="1:13" x14ac:dyDescent="0.3">
      <c r="A244" s="101" t="s">
        <v>836</v>
      </c>
      <c r="B244" s="28" t="s">
        <v>297</v>
      </c>
      <c r="C244" s="1" t="s">
        <v>71</v>
      </c>
      <c r="D244" s="57"/>
      <c r="E244" s="187" t="s">
        <v>296</v>
      </c>
      <c r="F244" s="10">
        <v>1</v>
      </c>
      <c r="G244" s="75">
        <v>38300</v>
      </c>
      <c r="H244" s="27">
        <v>0.5</v>
      </c>
      <c r="I244" s="26">
        <f t="shared" si="50"/>
        <v>19150</v>
      </c>
      <c r="J244" s="25">
        <f t="shared" si="51"/>
        <v>1</v>
      </c>
      <c r="K244" s="24">
        <f t="shared" si="52"/>
        <v>19150</v>
      </c>
    </row>
    <row r="245" spans="1:13" x14ac:dyDescent="0.3">
      <c r="A245" s="101" t="s">
        <v>836</v>
      </c>
      <c r="B245" s="28" t="s">
        <v>295</v>
      </c>
      <c r="C245" s="1" t="s">
        <v>71</v>
      </c>
      <c r="D245" s="57"/>
      <c r="E245" s="187" t="s">
        <v>294</v>
      </c>
      <c r="F245" s="10">
        <v>1</v>
      </c>
      <c r="G245" s="75">
        <v>24600</v>
      </c>
      <c r="H245" s="27">
        <v>0.5</v>
      </c>
      <c r="I245" s="26">
        <f t="shared" si="50"/>
        <v>12300</v>
      </c>
      <c r="J245" s="25">
        <f t="shared" si="51"/>
        <v>1</v>
      </c>
      <c r="K245" s="24">
        <f t="shared" si="52"/>
        <v>12300</v>
      </c>
    </row>
    <row r="246" spans="1:13" x14ac:dyDescent="0.3">
      <c r="A246" s="101" t="s">
        <v>836</v>
      </c>
      <c r="B246" s="28" t="s">
        <v>293</v>
      </c>
      <c r="C246" s="1" t="s">
        <v>71</v>
      </c>
      <c r="D246" s="57"/>
      <c r="E246" s="187" t="s">
        <v>292</v>
      </c>
      <c r="F246" s="10">
        <v>1</v>
      </c>
      <c r="G246" s="75">
        <v>22500</v>
      </c>
      <c r="H246" s="27">
        <v>0.5</v>
      </c>
      <c r="I246" s="26">
        <f t="shared" si="50"/>
        <v>11250</v>
      </c>
      <c r="J246" s="25">
        <f t="shared" si="51"/>
        <v>1</v>
      </c>
      <c r="K246" s="24">
        <f t="shared" si="52"/>
        <v>11250</v>
      </c>
    </row>
    <row r="247" spans="1:13" x14ac:dyDescent="0.3">
      <c r="A247" s="101" t="s">
        <v>836</v>
      </c>
      <c r="B247" s="28" t="s">
        <v>291</v>
      </c>
      <c r="C247" s="1" t="s">
        <v>71</v>
      </c>
      <c r="D247" s="57"/>
      <c r="E247" s="187" t="s">
        <v>290</v>
      </c>
      <c r="F247" s="10">
        <v>1</v>
      </c>
      <c r="G247" s="75">
        <v>17200</v>
      </c>
      <c r="H247" s="27">
        <v>0.5</v>
      </c>
      <c r="I247" s="26">
        <f t="shared" si="50"/>
        <v>8600</v>
      </c>
      <c r="J247" s="25">
        <f t="shared" si="51"/>
        <v>1</v>
      </c>
      <c r="K247" s="24">
        <f t="shared" si="52"/>
        <v>8600</v>
      </c>
    </row>
    <row r="248" spans="1:13" ht="28.8" x14ac:dyDescent="0.55000000000000004">
      <c r="A248" s="101" t="s">
        <v>836</v>
      </c>
      <c r="B248" s="28" t="s">
        <v>289</v>
      </c>
      <c r="C248" s="1" t="s">
        <v>71</v>
      </c>
      <c r="D248" s="57"/>
      <c r="E248" s="187" t="s">
        <v>288</v>
      </c>
      <c r="F248" s="10">
        <v>1</v>
      </c>
      <c r="G248" s="75">
        <v>15100</v>
      </c>
      <c r="H248" s="27">
        <v>0.5</v>
      </c>
      <c r="I248" s="26">
        <f t="shared" si="50"/>
        <v>7550</v>
      </c>
      <c r="J248" s="25">
        <f t="shared" si="51"/>
        <v>1</v>
      </c>
      <c r="K248" s="24">
        <f t="shared" si="52"/>
        <v>7550</v>
      </c>
      <c r="M248" s="80" t="s">
        <v>586</v>
      </c>
    </row>
    <row r="249" spans="1:13" x14ac:dyDescent="0.3">
      <c r="A249" s="101" t="s">
        <v>836</v>
      </c>
      <c r="B249" s="28" t="s">
        <v>287</v>
      </c>
      <c r="C249" s="1" t="s">
        <v>71</v>
      </c>
      <c r="D249" s="57"/>
      <c r="E249" s="187" t="s">
        <v>286</v>
      </c>
      <c r="F249" s="10">
        <v>1</v>
      </c>
      <c r="G249" s="75">
        <v>13200</v>
      </c>
      <c r="H249" s="27">
        <v>0.5</v>
      </c>
      <c r="I249" s="26">
        <f t="shared" si="50"/>
        <v>6600</v>
      </c>
      <c r="J249" s="25">
        <f t="shared" si="51"/>
        <v>1</v>
      </c>
      <c r="K249" s="24">
        <f t="shared" si="52"/>
        <v>6600</v>
      </c>
    </row>
    <row r="250" spans="1:13" x14ac:dyDescent="0.3">
      <c r="A250" s="101" t="s">
        <v>836</v>
      </c>
      <c r="B250" s="28" t="s">
        <v>285</v>
      </c>
      <c r="C250" s="1" t="s">
        <v>71</v>
      </c>
      <c r="D250" s="57"/>
      <c r="E250" s="187" t="s">
        <v>284</v>
      </c>
      <c r="F250" s="10">
        <v>1</v>
      </c>
      <c r="G250" s="75">
        <v>11400</v>
      </c>
      <c r="H250" s="27">
        <v>0.5</v>
      </c>
      <c r="I250" s="26">
        <f t="shared" si="50"/>
        <v>5700</v>
      </c>
      <c r="J250" s="25">
        <f t="shared" si="51"/>
        <v>1</v>
      </c>
      <c r="K250" s="24">
        <f t="shared" si="52"/>
        <v>5700</v>
      </c>
    </row>
    <row r="251" spans="1:13" x14ac:dyDescent="0.3">
      <c r="A251" s="101" t="s">
        <v>836</v>
      </c>
      <c r="B251" s="28" t="s">
        <v>283</v>
      </c>
      <c r="C251" s="1" t="s">
        <v>71</v>
      </c>
      <c r="D251" s="57"/>
      <c r="E251" s="187" t="s">
        <v>282</v>
      </c>
      <c r="F251" s="10">
        <v>1</v>
      </c>
      <c r="G251" s="75">
        <v>7010</v>
      </c>
      <c r="H251" s="27">
        <v>0.5</v>
      </c>
      <c r="I251" s="26">
        <f t="shared" si="50"/>
        <v>3505</v>
      </c>
      <c r="J251" s="25">
        <f t="shared" si="51"/>
        <v>1</v>
      </c>
      <c r="K251" s="24">
        <f t="shared" si="52"/>
        <v>3505</v>
      </c>
    </row>
    <row r="252" spans="1:13" x14ac:dyDescent="0.3">
      <c r="A252" s="101" t="s">
        <v>836</v>
      </c>
      <c r="B252" s="28" t="s">
        <v>281</v>
      </c>
      <c r="C252" s="1" t="s">
        <v>71</v>
      </c>
      <c r="D252" s="57"/>
      <c r="E252" s="187" t="s">
        <v>280</v>
      </c>
      <c r="F252" s="10">
        <v>1</v>
      </c>
      <c r="G252" s="75">
        <v>2170</v>
      </c>
      <c r="H252" s="27">
        <v>0.5</v>
      </c>
      <c r="I252" s="26">
        <f t="shared" si="50"/>
        <v>1085</v>
      </c>
      <c r="J252" s="25">
        <f t="shared" si="51"/>
        <v>1</v>
      </c>
      <c r="K252" s="24">
        <f t="shared" si="52"/>
        <v>1085</v>
      </c>
    </row>
    <row r="253" spans="1:13" x14ac:dyDescent="0.3">
      <c r="A253" s="101" t="s">
        <v>836</v>
      </c>
      <c r="B253" s="28" t="s">
        <v>279</v>
      </c>
      <c r="C253" s="1" t="s">
        <v>71</v>
      </c>
      <c r="D253" s="57"/>
      <c r="E253" s="187" t="s">
        <v>278</v>
      </c>
      <c r="F253" s="10">
        <v>1</v>
      </c>
      <c r="G253" s="75">
        <v>3550</v>
      </c>
      <c r="H253" s="27">
        <v>0.5</v>
      </c>
      <c r="I253" s="26">
        <f t="shared" si="50"/>
        <v>1775</v>
      </c>
      <c r="J253" s="25">
        <f t="shared" si="51"/>
        <v>1</v>
      </c>
      <c r="K253" s="24">
        <f t="shared" si="52"/>
        <v>1775</v>
      </c>
    </row>
    <row r="254" spans="1:13" x14ac:dyDescent="0.3">
      <c r="A254" s="101" t="s">
        <v>836</v>
      </c>
      <c r="B254" s="28" t="s">
        <v>277</v>
      </c>
      <c r="C254" s="1" t="s">
        <v>71</v>
      </c>
      <c r="D254" s="57"/>
      <c r="E254" s="187" t="s">
        <v>276</v>
      </c>
      <c r="F254" s="10">
        <v>1</v>
      </c>
      <c r="G254" s="75">
        <v>3950</v>
      </c>
      <c r="H254" s="27">
        <v>0.5</v>
      </c>
      <c r="I254" s="26">
        <f t="shared" si="50"/>
        <v>1975</v>
      </c>
      <c r="J254" s="25">
        <f t="shared" si="51"/>
        <v>1</v>
      </c>
      <c r="K254" s="24">
        <f t="shared" si="52"/>
        <v>1975</v>
      </c>
    </row>
    <row r="255" spans="1:13" x14ac:dyDescent="0.3">
      <c r="A255" s="101" t="s">
        <v>836</v>
      </c>
      <c r="B255" s="28" t="s">
        <v>275</v>
      </c>
      <c r="C255" s="1" t="s">
        <v>71</v>
      </c>
      <c r="D255" s="57"/>
      <c r="E255" s="187" t="s">
        <v>274</v>
      </c>
      <c r="F255" s="10">
        <v>1</v>
      </c>
      <c r="G255" s="75">
        <v>5540</v>
      </c>
      <c r="H255" s="27">
        <v>0.5</v>
      </c>
      <c r="I255" s="26">
        <f t="shared" si="50"/>
        <v>2770</v>
      </c>
      <c r="J255" s="25">
        <f t="shared" si="51"/>
        <v>1</v>
      </c>
      <c r="K255" s="24">
        <f t="shared" si="52"/>
        <v>2770</v>
      </c>
    </row>
    <row r="256" spans="1:13" x14ac:dyDescent="0.3">
      <c r="A256" s="101" t="s">
        <v>836</v>
      </c>
      <c r="B256" s="28"/>
      <c r="C256" s="1"/>
      <c r="D256" s="58"/>
      <c r="E256" s="188"/>
      <c r="F256" s="10"/>
      <c r="G256" s="26"/>
      <c r="H256" s="27"/>
      <c r="I256" s="26"/>
      <c r="J256" s="25"/>
      <c r="K256" s="24"/>
    </row>
    <row r="257" spans="1:11" x14ac:dyDescent="0.3">
      <c r="A257" s="101" t="s">
        <v>836</v>
      </c>
      <c r="B257" s="28" t="s">
        <v>273</v>
      </c>
      <c r="C257" s="1" t="s">
        <v>71</v>
      </c>
      <c r="D257" s="58"/>
      <c r="E257" s="196"/>
      <c r="F257" s="10">
        <v>1</v>
      </c>
      <c r="G257" s="26">
        <v>641</v>
      </c>
      <c r="H257" s="27">
        <v>0.5</v>
      </c>
      <c r="I257" s="26">
        <f>(G257*(100%-H257))*F257</f>
        <v>320.5</v>
      </c>
      <c r="J257" s="25">
        <f>$K$5</f>
        <v>1</v>
      </c>
      <c r="K257" s="24">
        <f>I257/$K$5</f>
        <v>320.5</v>
      </c>
    </row>
    <row r="258" spans="1:11" x14ac:dyDescent="0.3">
      <c r="A258" s="101" t="s">
        <v>836</v>
      </c>
      <c r="B258" s="28" t="s">
        <v>272</v>
      </c>
      <c r="C258" s="1" t="s">
        <v>71</v>
      </c>
      <c r="D258" s="57"/>
      <c r="E258" s="189"/>
      <c r="F258" s="10">
        <v>1</v>
      </c>
      <c r="G258" s="26">
        <v>618</v>
      </c>
      <c r="H258" s="27">
        <v>0.5</v>
      </c>
      <c r="I258" s="26">
        <f>(G258*(100%-H258))*F258</f>
        <v>309</v>
      </c>
      <c r="J258" s="25">
        <f>$K$5</f>
        <v>1</v>
      </c>
      <c r="K258" s="24">
        <f>I258/$K$5</f>
        <v>309</v>
      </c>
    </row>
    <row r="259" spans="1:11" x14ac:dyDescent="0.3">
      <c r="A259" s="101" t="s">
        <v>836</v>
      </c>
      <c r="B259" s="28" t="s">
        <v>271</v>
      </c>
      <c r="C259" s="1" t="s">
        <v>71</v>
      </c>
      <c r="D259" s="57"/>
      <c r="E259" s="188" t="s">
        <v>270</v>
      </c>
      <c r="F259" s="10">
        <v>1</v>
      </c>
      <c r="G259" s="75">
        <v>406</v>
      </c>
      <c r="H259" s="27">
        <v>0.5</v>
      </c>
      <c r="I259" s="26">
        <f>(G259*(100%-H259))*F259</f>
        <v>203</v>
      </c>
      <c r="J259" s="25">
        <f>$K$5</f>
        <v>1</v>
      </c>
      <c r="K259" s="24">
        <f>I259/$K$5</f>
        <v>203</v>
      </c>
    </row>
    <row r="260" spans="1:11" x14ac:dyDescent="0.3">
      <c r="A260" s="101" t="s">
        <v>836</v>
      </c>
      <c r="B260" s="28" t="s">
        <v>157</v>
      </c>
      <c r="C260" s="1" t="s">
        <v>71</v>
      </c>
      <c r="D260" s="58"/>
      <c r="E260" s="196"/>
      <c r="F260" s="10">
        <v>1</v>
      </c>
      <c r="G260" s="26">
        <v>3580</v>
      </c>
      <c r="H260" s="27">
        <v>0.5</v>
      </c>
      <c r="I260" s="26">
        <f>(G260*(100%-H260))*F260</f>
        <v>1790</v>
      </c>
      <c r="J260" s="25">
        <f>$K$5</f>
        <v>1</v>
      </c>
      <c r="K260" s="24">
        <f>I260/$K$5</f>
        <v>1790</v>
      </c>
    </row>
    <row r="261" spans="1:11" x14ac:dyDescent="0.3">
      <c r="A261" s="101" t="s">
        <v>836</v>
      </c>
      <c r="B261" s="28"/>
      <c r="C261" s="1"/>
      <c r="D261" s="58"/>
      <c r="E261" s="188"/>
      <c r="F261" s="10"/>
      <c r="G261" s="26"/>
      <c r="H261" s="27"/>
      <c r="I261" s="26"/>
      <c r="J261" s="25"/>
      <c r="K261" s="24"/>
    </row>
    <row r="262" spans="1:11" x14ac:dyDescent="0.3">
      <c r="A262" s="101" t="s">
        <v>836</v>
      </c>
      <c r="B262" s="28" t="s">
        <v>269</v>
      </c>
      <c r="C262" s="1" t="s">
        <v>71</v>
      </c>
      <c r="D262" s="57"/>
      <c r="E262" s="188" t="s">
        <v>268</v>
      </c>
      <c r="F262" s="10">
        <v>1</v>
      </c>
      <c r="G262" s="75">
        <v>961</v>
      </c>
      <c r="H262" s="27">
        <v>0.5</v>
      </c>
      <c r="I262" s="26">
        <f t="shared" ref="I262:I272" si="53">(G262*(100%-H262))*F262</f>
        <v>480.5</v>
      </c>
      <c r="J262" s="25">
        <f t="shared" ref="J262:J272" si="54">$K$5</f>
        <v>1</v>
      </c>
      <c r="K262" s="24">
        <f t="shared" ref="K262:K272" si="55">I262/$K$5</f>
        <v>480.5</v>
      </c>
    </row>
    <row r="263" spans="1:11" x14ac:dyDescent="0.3">
      <c r="A263" s="101" t="s">
        <v>836</v>
      </c>
      <c r="B263" s="28" t="s">
        <v>267</v>
      </c>
      <c r="C263" s="1" t="s">
        <v>71</v>
      </c>
      <c r="D263" s="57"/>
      <c r="E263" s="187" t="s">
        <v>266</v>
      </c>
      <c r="F263" s="10">
        <v>1</v>
      </c>
      <c r="G263" s="75">
        <v>2100</v>
      </c>
      <c r="H263" s="27">
        <v>0.5</v>
      </c>
      <c r="I263" s="26">
        <f t="shared" si="53"/>
        <v>1050</v>
      </c>
      <c r="J263" s="25">
        <f t="shared" si="54"/>
        <v>1</v>
      </c>
      <c r="K263" s="24">
        <f t="shared" si="55"/>
        <v>1050</v>
      </c>
    </row>
    <row r="264" spans="1:11" x14ac:dyDescent="0.3">
      <c r="A264" s="101" t="s">
        <v>836</v>
      </c>
      <c r="B264" s="28" t="s">
        <v>265</v>
      </c>
      <c r="C264" s="1" t="s">
        <v>71</v>
      </c>
      <c r="D264" s="57"/>
      <c r="E264" s="187" t="s">
        <v>264</v>
      </c>
      <c r="F264" s="10">
        <v>1</v>
      </c>
      <c r="G264" s="75">
        <v>683</v>
      </c>
      <c r="H264" s="27">
        <v>0.5</v>
      </c>
      <c r="I264" s="26">
        <f t="shared" si="53"/>
        <v>341.5</v>
      </c>
      <c r="J264" s="25">
        <f t="shared" si="54"/>
        <v>1</v>
      </c>
      <c r="K264" s="24">
        <f t="shared" si="55"/>
        <v>341.5</v>
      </c>
    </row>
    <row r="265" spans="1:11" x14ac:dyDescent="0.3">
      <c r="A265" s="101" t="s">
        <v>836</v>
      </c>
      <c r="B265" s="28" t="s">
        <v>263</v>
      </c>
      <c r="C265" s="1" t="s">
        <v>71</v>
      </c>
      <c r="D265" s="57"/>
      <c r="E265" s="187" t="s">
        <v>262</v>
      </c>
      <c r="F265" s="10">
        <v>1</v>
      </c>
      <c r="G265" s="75">
        <v>101</v>
      </c>
      <c r="H265" s="27">
        <v>0.5</v>
      </c>
      <c r="I265" s="26">
        <f t="shared" si="53"/>
        <v>50.5</v>
      </c>
      <c r="J265" s="25">
        <f t="shared" si="54"/>
        <v>1</v>
      </c>
      <c r="K265" s="24">
        <f t="shared" si="55"/>
        <v>50.5</v>
      </c>
    </row>
    <row r="266" spans="1:11" x14ac:dyDescent="0.3">
      <c r="A266" s="101" t="s">
        <v>836</v>
      </c>
      <c r="B266" s="28" t="s">
        <v>261</v>
      </c>
      <c r="C266" s="1" t="s">
        <v>71</v>
      </c>
      <c r="D266" s="57"/>
      <c r="E266" s="187" t="s">
        <v>260</v>
      </c>
      <c r="F266" s="10">
        <v>1</v>
      </c>
      <c r="G266" s="75">
        <v>116</v>
      </c>
      <c r="H266" s="27">
        <v>0.5</v>
      </c>
      <c r="I266" s="26">
        <f t="shared" si="53"/>
        <v>58</v>
      </c>
      <c r="J266" s="25">
        <f t="shared" si="54"/>
        <v>1</v>
      </c>
      <c r="K266" s="24">
        <f t="shared" si="55"/>
        <v>58</v>
      </c>
    </row>
    <row r="267" spans="1:11" x14ac:dyDescent="0.3">
      <c r="A267" s="101" t="s">
        <v>836</v>
      </c>
      <c r="B267" s="28" t="s">
        <v>259</v>
      </c>
      <c r="C267" s="1" t="s">
        <v>71</v>
      </c>
      <c r="D267" s="57"/>
      <c r="E267" s="187" t="s">
        <v>258</v>
      </c>
      <c r="F267" s="10">
        <v>1</v>
      </c>
      <c r="G267" s="75">
        <v>116</v>
      </c>
      <c r="H267" s="27">
        <v>0.5</v>
      </c>
      <c r="I267" s="26">
        <f t="shared" si="53"/>
        <v>58</v>
      </c>
      <c r="J267" s="25">
        <f t="shared" si="54"/>
        <v>1</v>
      </c>
      <c r="K267" s="24">
        <f t="shared" si="55"/>
        <v>58</v>
      </c>
    </row>
    <row r="268" spans="1:11" x14ac:dyDescent="0.3">
      <c r="A268" s="101" t="s">
        <v>836</v>
      </c>
      <c r="B268" s="28" t="s">
        <v>257</v>
      </c>
      <c r="C268" s="1" t="s">
        <v>71</v>
      </c>
      <c r="D268" s="57"/>
      <c r="E268" s="187" t="s">
        <v>256</v>
      </c>
      <c r="F268" s="10">
        <v>1</v>
      </c>
      <c r="G268" s="75">
        <v>510</v>
      </c>
      <c r="H268" s="27">
        <v>0.5</v>
      </c>
      <c r="I268" s="26">
        <f t="shared" si="53"/>
        <v>255</v>
      </c>
      <c r="J268" s="25">
        <f t="shared" si="54"/>
        <v>1</v>
      </c>
      <c r="K268" s="24">
        <f t="shared" si="55"/>
        <v>255</v>
      </c>
    </row>
    <row r="269" spans="1:11" x14ac:dyDescent="0.3">
      <c r="A269" s="101" t="s">
        <v>836</v>
      </c>
      <c r="B269" s="28" t="s">
        <v>255</v>
      </c>
      <c r="C269" s="1" t="s">
        <v>71</v>
      </c>
      <c r="D269" s="57"/>
      <c r="E269" s="187" t="s">
        <v>254</v>
      </c>
      <c r="F269" s="10">
        <v>1</v>
      </c>
      <c r="G269" s="75">
        <v>1990</v>
      </c>
      <c r="H269" s="27">
        <v>0.5</v>
      </c>
      <c r="I269" s="26">
        <f t="shared" si="53"/>
        <v>995</v>
      </c>
      <c r="J269" s="25">
        <f t="shared" si="54"/>
        <v>1</v>
      </c>
      <c r="K269" s="24">
        <f t="shared" si="55"/>
        <v>995</v>
      </c>
    </row>
    <row r="270" spans="1:11" x14ac:dyDescent="0.3">
      <c r="A270" s="101" t="s">
        <v>836</v>
      </c>
      <c r="B270" s="28" t="s">
        <v>253</v>
      </c>
      <c r="C270" s="1" t="s">
        <v>71</v>
      </c>
      <c r="D270" s="57"/>
      <c r="E270" s="187" t="s">
        <v>252</v>
      </c>
      <c r="F270" s="10">
        <v>1</v>
      </c>
      <c r="G270" s="75">
        <v>2720</v>
      </c>
      <c r="H270" s="27">
        <v>0.5</v>
      </c>
      <c r="I270" s="26">
        <f t="shared" si="53"/>
        <v>1360</v>
      </c>
      <c r="J270" s="25">
        <f t="shared" si="54"/>
        <v>1</v>
      </c>
      <c r="K270" s="24">
        <f t="shared" si="55"/>
        <v>1360</v>
      </c>
    </row>
    <row r="271" spans="1:11" x14ac:dyDescent="0.3">
      <c r="A271" s="101" t="s">
        <v>836</v>
      </c>
      <c r="B271" s="28" t="s">
        <v>251</v>
      </c>
      <c r="C271" s="1" t="s">
        <v>71</v>
      </c>
      <c r="D271" s="57"/>
      <c r="E271" s="187" t="s">
        <v>250</v>
      </c>
      <c r="F271" s="10">
        <v>1</v>
      </c>
      <c r="G271" s="75">
        <v>4210</v>
      </c>
      <c r="H271" s="27">
        <v>0.5</v>
      </c>
      <c r="I271" s="26">
        <f t="shared" si="53"/>
        <v>2105</v>
      </c>
      <c r="J271" s="25">
        <f t="shared" si="54"/>
        <v>1</v>
      </c>
      <c r="K271" s="24">
        <f t="shared" si="55"/>
        <v>2105</v>
      </c>
    </row>
    <row r="272" spans="1:11" x14ac:dyDescent="0.3">
      <c r="A272" s="101" t="s">
        <v>836</v>
      </c>
      <c r="B272" s="28" t="s">
        <v>249</v>
      </c>
      <c r="C272" s="1" t="s">
        <v>71</v>
      </c>
      <c r="D272" s="57"/>
      <c r="E272" s="187" t="s">
        <v>248</v>
      </c>
      <c r="F272" s="10">
        <v>1</v>
      </c>
      <c r="G272" s="75">
        <v>5770</v>
      </c>
      <c r="H272" s="27">
        <v>0.5</v>
      </c>
      <c r="I272" s="26">
        <f t="shared" si="53"/>
        <v>2885</v>
      </c>
      <c r="J272" s="25">
        <f t="shared" si="54"/>
        <v>1</v>
      </c>
      <c r="K272" s="24">
        <f t="shared" si="55"/>
        <v>2885</v>
      </c>
    </row>
    <row r="273" spans="1:11" x14ac:dyDescent="0.3">
      <c r="A273" s="101" t="s">
        <v>836</v>
      </c>
      <c r="B273" s="28"/>
      <c r="C273" s="1"/>
      <c r="D273" s="58"/>
      <c r="E273" s="58"/>
      <c r="F273" s="10"/>
      <c r="G273" s="26"/>
      <c r="H273" s="27"/>
      <c r="I273" s="26"/>
      <c r="J273" s="27"/>
      <c r="K273" s="24"/>
    </row>
    <row r="274" spans="1:11" x14ac:dyDescent="0.3">
      <c r="A274" s="101" t="s">
        <v>836</v>
      </c>
      <c r="B274" s="28"/>
      <c r="C274" s="1"/>
      <c r="D274" s="58"/>
      <c r="E274" s="58"/>
      <c r="F274" s="10"/>
      <c r="G274" s="26"/>
      <c r="H274" s="27"/>
      <c r="I274" s="26"/>
      <c r="J274" s="14"/>
      <c r="K274" s="22"/>
    </row>
    <row r="275" spans="1:11" ht="18.600000000000001" thickBot="1" x14ac:dyDescent="0.35">
      <c r="A275" s="101" t="s">
        <v>836</v>
      </c>
      <c r="B275" s="21"/>
      <c r="C275" s="20"/>
      <c r="D275" s="20"/>
      <c r="E275" s="20"/>
      <c r="F275" s="20"/>
      <c r="G275" s="20"/>
      <c r="H275" s="19" t="s">
        <v>9</v>
      </c>
      <c r="I275" s="18">
        <f>SUM(I132:I272)</f>
        <v>346958.30000000005</v>
      </c>
      <c r="J275" s="17"/>
      <c r="K275" s="16">
        <f>SUM(K132:K273)</f>
        <v>346958.30000000005</v>
      </c>
    </row>
    <row r="276" spans="1:11" x14ac:dyDescent="0.3">
      <c r="A276" s="101" t="s">
        <v>836</v>
      </c>
      <c r="B276" s="304" t="s">
        <v>1</v>
      </c>
      <c r="C276" s="304"/>
      <c r="D276" s="304"/>
      <c r="E276" s="304"/>
      <c r="F276" s="304"/>
      <c r="G276" s="304"/>
      <c r="H276" s="304"/>
      <c r="I276" s="304"/>
      <c r="J276" s="304"/>
      <c r="K276" s="305"/>
    </row>
    <row r="277" spans="1:11" ht="15" thickBot="1" x14ac:dyDescent="0.35">
      <c r="A277" s="101" t="s">
        <v>836</v>
      </c>
      <c r="B277" s="307"/>
      <c r="C277" s="307"/>
      <c r="D277" s="307"/>
      <c r="E277" s="307"/>
      <c r="F277" s="307"/>
      <c r="G277" s="307"/>
      <c r="H277" s="307"/>
      <c r="I277" s="307"/>
      <c r="J277" s="307"/>
      <c r="K277" s="308"/>
    </row>
    <row r="278" spans="1:11" x14ac:dyDescent="0.3">
      <c r="A278" s="101" t="s">
        <v>836</v>
      </c>
      <c r="B278" s="15"/>
      <c r="C278" s="92"/>
      <c r="D278" s="92"/>
      <c r="E278" s="92"/>
      <c r="F278" s="10"/>
      <c r="G278" s="26"/>
      <c r="H278" s="27"/>
      <c r="I278" s="26"/>
      <c r="J278" s="27"/>
      <c r="K278" s="24"/>
    </row>
    <row r="279" spans="1:11" x14ac:dyDescent="0.3">
      <c r="A279" s="101" t="s">
        <v>836</v>
      </c>
      <c r="B279" s="15" t="s">
        <v>238</v>
      </c>
      <c r="C279" s="92" t="s">
        <v>806</v>
      </c>
      <c r="D279" s="197" t="s">
        <v>1043</v>
      </c>
      <c r="E279" s="197"/>
      <c r="F279" s="10">
        <v>1</v>
      </c>
      <c r="G279" s="75">
        <v>480000</v>
      </c>
      <c r="H279" s="27">
        <v>0</v>
      </c>
      <c r="I279" s="26">
        <f t="shared" ref="I279:I287" si="56">(G279*(100%-H279))*F279</f>
        <v>480000</v>
      </c>
      <c r="J279" s="25">
        <f t="shared" ref="J279:J287" si="57">$K$5</f>
        <v>1</v>
      </c>
      <c r="K279" s="24">
        <f t="shared" ref="K279:K287" si="58">I279/$K$5</f>
        <v>480000</v>
      </c>
    </row>
    <row r="280" spans="1:11" x14ac:dyDescent="0.3">
      <c r="A280" s="101" t="s">
        <v>836</v>
      </c>
      <c r="B280" s="15" t="s">
        <v>238</v>
      </c>
      <c r="C280" s="92" t="s">
        <v>247</v>
      </c>
      <c r="D280" s="197" t="s">
        <v>246</v>
      </c>
      <c r="E280" s="197"/>
      <c r="F280" s="10">
        <v>1</v>
      </c>
      <c r="G280" s="26">
        <v>15000</v>
      </c>
      <c r="H280" s="27">
        <v>0</v>
      </c>
      <c r="I280" s="26">
        <f t="shared" si="56"/>
        <v>15000</v>
      </c>
      <c r="J280" s="25">
        <f t="shared" si="57"/>
        <v>1</v>
      </c>
      <c r="K280" s="24">
        <f t="shared" si="58"/>
        <v>15000</v>
      </c>
    </row>
    <row r="281" spans="1:11" x14ac:dyDescent="0.3">
      <c r="A281" s="101" t="s">
        <v>836</v>
      </c>
      <c r="B281" s="15" t="s">
        <v>238</v>
      </c>
      <c r="C281" s="54" t="s">
        <v>39</v>
      </c>
      <c r="D281" s="197" t="s">
        <v>245</v>
      </c>
      <c r="E281" s="197" t="s">
        <v>244</v>
      </c>
      <c r="F281" s="10">
        <v>1</v>
      </c>
      <c r="G281" s="26">
        <v>2700</v>
      </c>
      <c r="H281" s="27">
        <v>0</v>
      </c>
      <c r="I281" s="26">
        <f t="shared" si="56"/>
        <v>2700</v>
      </c>
      <c r="J281" s="25">
        <f t="shared" si="57"/>
        <v>1</v>
      </c>
      <c r="K281" s="24">
        <f t="shared" si="58"/>
        <v>2700</v>
      </c>
    </row>
    <row r="282" spans="1:11" x14ac:dyDescent="0.3">
      <c r="A282" s="101" t="s">
        <v>836</v>
      </c>
      <c r="B282" s="15" t="s">
        <v>238</v>
      </c>
      <c r="C282" s="54" t="s">
        <v>39</v>
      </c>
      <c r="D282" s="197" t="s">
        <v>243</v>
      </c>
      <c r="E282" s="197"/>
      <c r="F282" s="10">
        <v>1</v>
      </c>
      <c r="G282" s="26">
        <v>2584</v>
      </c>
      <c r="H282" s="27">
        <v>0</v>
      </c>
      <c r="I282" s="26">
        <f t="shared" si="56"/>
        <v>2584</v>
      </c>
      <c r="J282" s="25">
        <f t="shared" si="57"/>
        <v>1</v>
      </c>
      <c r="K282" s="24">
        <f t="shared" si="58"/>
        <v>2584</v>
      </c>
    </row>
    <row r="283" spans="1:11" x14ac:dyDescent="0.3">
      <c r="A283" s="101" t="s">
        <v>836</v>
      </c>
      <c r="B283" s="15" t="s">
        <v>238</v>
      </c>
      <c r="C283" s="54" t="s">
        <v>39</v>
      </c>
      <c r="D283" s="197" t="s">
        <v>242</v>
      </c>
      <c r="E283" s="197"/>
      <c r="F283" s="10">
        <v>1</v>
      </c>
      <c r="G283" s="26">
        <v>4173</v>
      </c>
      <c r="H283" s="27">
        <v>0</v>
      </c>
      <c r="I283" s="26">
        <f t="shared" si="56"/>
        <v>4173</v>
      </c>
      <c r="J283" s="25">
        <f t="shared" si="57"/>
        <v>1</v>
      </c>
      <c r="K283" s="24">
        <f t="shared" si="58"/>
        <v>4173</v>
      </c>
    </row>
    <row r="284" spans="1:11" x14ac:dyDescent="0.3">
      <c r="A284" s="101" t="s">
        <v>836</v>
      </c>
      <c r="B284" s="15" t="s">
        <v>238</v>
      </c>
      <c r="C284" s="54" t="s">
        <v>39</v>
      </c>
      <c r="D284" s="197" t="s">
        <v>241</v>
      </c>
      <c r="E284" s="197"/>
      <c r="F284" s="10">
        <v>1</v>
      </c>
      <c r="G284" s="26">
        <v>3048</v>
      </c>
      <c r="H284" s="27">
        <v>0</v>
      </c>
      <c r="I284" s="26">
        <f t="shared" si="56"/>
        <v>3048</v>
      </c>
      <c r="J284" s="25">
        <f t="shared" si="57"/>
        <v>1</v>
      </c>
      <c r="K284" s="24">
        <f t="shared" si="58"/>
        <v>3048</v>
      </c>
    </row>
    <row r="285" spans="1:11" x14ac:dyDescent="0.3">
      <c r="A285" s="101" t="s">
        <v>836</v>
      </c>
      <c r="B285" s="15" t="s">
        <v>238</v>
      </c>
      <c r="C285" s="54" t="s">
        <v>39</v>
      </c>
      <c r="D285" s="197" t="s">
        <v>240</v>
      </c>
      <c r="E285" s="197"/>
      <c r="F285" s="10">
        <v>1</v>
      </c>
      <c r="G285" s="26">
        <v>2156</v>
      </c>
      <c r="H285" s="27">
        <v>0</v>
      </c>
      <c r="I285" s="26">
        <f t="shared" si="56"/>
        <v>2156</v>
      </c>
      <c r="J285" s="25">
        <f t="shared" si="57"/>
        <v>1</v>
      </c>
      <c r="K285" s="24">
        <f t="shared" si="58"/>
        <v>2156</v>
      </c>
    </row>
    <row r="286" spans="1:11" x14ac:dyDescent="0.3">
      <c r="A286" s="101" t="s">
        <v>836</v>
      </c>
      <c r="B286" s="15" t="s">
        <v>238</v>
      </c>
      <c r="C286" s="54" t="s">
        <v>39</v>
      </c>
      <c r="D286" s="197" t="s">
        <v>239</v>
      </c>
      <c r="E286" s="197"/>
      <c r="F286" s="10">
        <v>1</v>
      </c>
      <c r="G286" s="26">
        <v>1118</v>
      </c>
      <c r="H286" s="27">
        <v>0</v>
      </c>
      <c r="I286" s="26">
        <f t="shared" si="56"/>
        <v>1118</v>
      </c>
      <c r="J286" s="25">
        <f t="shared" si="57"/>
        <v>1</v>
      </c>
      <c r="K286" s="24">
        <f t="shared" si="58"/>
        <v>1118</v>
      </c>
    </row>
    <row r="287" spans="1:11" x14ac:dyDescent="0.3">
      <c r="A287" s="101" t="s">
        <v>836</v>
      </c>
      <c r="B287" s="15" t="s">
        <v>238</v>
      </c>
      <c r="C287" s="54" t="s">
        <v>39</v>
      </c>
      <c r="D287" s="197" t="s">
        <v>237</v>
      </c>
      <c r="E287" s="197"/>
      <c r="F287" s="10">
        <v>1</v>
      </c>
      <c r="G287" s="26">
        <v>1769</v>
      </c>
      <c r="H287" s="27">
        <v>0</v>
      </c>
      <c r="I287" s="26">
        <f t="shared" si="56"/>
        <v>1769</v>
      </c>
      <c r="J287" s="25">
        <f t="shared" si="57"/>
        <v>1</v>
      </c>
      <c r="K287" s="24">
        <f t="shared" si="58"/>
        <v>1769</v>
      </c>
    </row>
    <row r="288" spans="1:11" x14ac:dyDescent="0.3">
      <c r="A288" s="101" t="s">
        <v>836</v>
      </c>
      <c r="B288" s="15"/>
      <c r="C288" s="54"/>
      <c r="D288" s="197"/>
      <c r="E288" s="197"/>
      <c r="F288" s="10"/>
      <c r="G288" s="26"/>
      <c r="H288" s="27"/>
      <c r="I288" s="26"/>
      <c r="J288" s="25"/>
      <c r="K288" s="24"/>
    </row>
    <row r="289" spans="1:11" x14ac:dyDescent="0.3">
      <c r="A289" s="101" t="s">
        <v>836</v>
      </c>
      <c r="B289" s="15" t="s">
        <v>236</v>
      </c>
      <c r="C289" s="10" t="s">
        <v>133</v>
      </c>
      <c r="D289" s="197"/>
      <c r="E289" s="197"/>
      <c r="F289" s="10">
        <v>1</v>
      </c>
      <c r="G289" s="26">
        <v>2800</v>
      </c>
      <c r="H289" s="27">
        <v>0</v>
      </c>
      <c r="I289" s="26">
        <f t="shared" ref="I289:I301" si="59">(G289*(100%-H289))*F289</f>
        <v>2800</v>
      </c>
      <c r="J289" s="25">
        <f t="shared" ref="J289:J444" si="60">$K$5</f>
        <v>1</v>
      </c>
      <c r="K289" s="24">
        <f t="shared" ref="K289:K301" si="61">I289/$K$5</f>
        <v>2800</v>
      </c>
    </row>
    <row r="290" spans="1:11" x14ac:dyDescent="0.3">
      <c r="A290" s="101" t="s">
        <v>836</v>
      </c>
      <c r="B290" s="15" t="s">
        <v>235</v>
      </c>
      <c r="C290" s="10" t="s">
        <v>133</v>
      </c>
      <c r="D290" s="197"/>
      <c r="E290" s="197"/>
      <c r="F290" s="10">
        <v>1</v>
      </c>
      <c r="G290" s="26">
        <v>2800</v>
      </c>
      <c r="H290" s="27">
        <v>0</v>
      </c>
      <c r="I290" s="26">
        <f t="shared" si="59"/>
        <v>2800</v>
      </c>
      <c r="J290" s="25">
        <f t="shared" si="60"/>
        <v>1</v>
      </c>
      <c r="K290" s="24">
        <f t="shared" si="61"/>
        <v>2800</v>
      </c>
    </row>
    <row r="291" spans="1:11" x14ac:dyDescent="0.3">
      <c r="A291" s="101" t="s">
        <v>836</v>
      </c>
      <c r="B291" s="91" t="s">
        <v>705</v>
      </c>
      <c r="C291" s="54" t="s">
        <v>39</v>
      </c>
      <c r="D291" s="56" t="s">
        <v>232</v>
      </c>
      <c r="E291" s="56"/>
      <c r="F291" s="10">
        <v>1</v>
      </c>
      <c r="G291" s="26">
        <v>1200</v>
      </c>
      <c r="H291" s="27">
        <v>0.3</v>
      </c>
      <c r="I291" s="26">
        <f t="shared" si="59"/>
        <v>840</v>
      </c>
      <c r="J291" s="25">
        <f t="shared" si="60"/>
        <v>1</v>
      </c>
      <c r="K291" s="24">
        <f t="shared" si="61"/>
        <v>840</v>
      </c>
    </row>
    <row r="292" spans="1:11" x14ac:dyDescent="0.3">
      <c r="A292" s="101" t="s">
        <v>836</v>
      </c>
      <c r="B292" s="15" t="s">
        <v>706</v>
      </c>
      <c r="C292" s="54" t="s">
        <v>39</v>
      </c>
      <c r="D292" s="56" t="s">
        <v>707</v>
      </c>
      <c r="E292" s="56" t="s">
        <v>708</v>
      </c>
      <c r="F292" s="10">
        <v>1</v>
      </c>
      <c r="G292" s="26">
        <v>1700</v>
      </c>
      <c r="H292" s="27">
        <v>0.3</v>
      </c>
      <c r="I292" s="26">
        <f t="shared" si="59"/>
        <v>1190</v>
      </c>
      <c r="J292" s="25">
        <f t="shared" si="60"/>
        <v>1</v>
      </c>
      <c r="K292" s="24">
        <f t="shared" si="61"/>
        <v>1190</v>
      </c>
    </row>
    <row r="293" spans="1:11" x14ac:dyDescent="0.3">
      <c r="A293" s="101" t="s">
        <v>836</v>
      </c>
      <c r="B293" s="15" t="s">
        <v>231</v>
      </c>
      <c r="C293" s="54" t="s">
        <v>39</v>
      </c>
      <c r="D293" s="197" t="s">
        <v>709</v>
      </c>
      <c r="E293" s="197" t="s">
        <v>699</v>
      </c>
      <c r="F293" s="10">
        <v>1</v>
      </c>
      <c r="G293" s="26">
        <v>1306</v>
      </c>
      <c r="H293" s="27">
        <v>0.3</v>
      </c>
      <c r="I293" s="26">
        <f t="shared" si="59"/>
        <v>914.19999999999993</v>
      </c>
      <c r="J293" s="25">
        <f t="shared" si="60"/>
        <v>1</v>
      </c>
      <c r="K293" s="24">
        <f t="shared" si="61"/>
        <v>914.19999999999993</v>
      </c>
    </row>
    <row r="294" spans="1:11" x14ac:dyDescent="0.3">
      <c r="A294" s="101" t="s">
        <v>836</v>
      </c>
      <c r="B294" s="15" t="s">
        <v>231</v>
      </c>
      <c r="C294" s="54" t="s">
        <v>39</v>
      </c>
      <c r="D294" s="197" t="s">
        <v>710</v>
      </c>
      <c r="E294" s="197" t="s">
        <v>699</v>
      </c>
      <c r="F294" s="10">
        <v>1</v>
      </c>
      <c r="G294" s="26">
        <v>1646</v>
      </c>
      <c r="H294" s="27">
        <v>0.3</v>
      </c>
      <c r="I294" s="26">
        <f t="shared" si="59"/>
        <v>1152.1999999999998</v>
      </c>
      <c r="J294" s="25">
        <f t="shared" si="60"/>
        <v>1</v>
      </c>
      <c r="K294" s="24">
        <f t="shared" si="61"/>
        <v>1152.1999999999998</v>
      </c>
    </row>
    <row r="295" spans="1:11" x14ac:dyDescent="0.3">
      <c r="A295" s="101" t="s">
        <v>836</v>
      </c>
      <c r="B295" s="15" t="s">
        <v>231</v>
      </c>
      <c r="C295" s="54" t="s">
        <v>39</v>
      </c>
      <c r="D295" s="197" t="s">
        <v>617</v>
      </c>
      <c r="E295" s="197" t="s">
        <v>700</v>
      </c>
      <c r="F295" s="10">
        <v>1</v>
      </c>
      <c r="G295" s="26">
        <v>2493</v>
      </c>
      <c r="H295" s="27">
        <v>0.3</v>
      </c>
      <c r="I295" s="26">
        <f t="shared" si="59"/>
        <v>1745.1</v>
      </c>
      <c r="J295" s="25">
        <f t="shared" si="60"/>
        <v>1</v>
      </c>
      <c r="K295" s="24">
        <f t="shared" si="61"/>
        <v>1745.1</v>
      </c>
    </row>
    <row r="296" spans="1:11" x14ac:dyDescent="0.3">
      <c r="A296" s="101" t="s">
        <v>836</v>
      </c>
      <c r="B296" s="15" t="s">
        <v>231</v>
      </c>
      <c r="C296" s="54" t="s">
        <v>39</v>
      </c>
      <c r="D296" s="197" t="s">
        <v>618</v>
      </c>
      <c r="E296" s="197" t="s">
        <v>700</v>
      </c>
      <c r="F296" s="10">
        <v>1</v>
      </c>
      <c r="G296" s="26">
        <v>3029</v>
      </c>
      <c r="H296" s="27">
        <v>0.3</v>
      </c>
      <c r="I296" s="26">
        <f t="shared" si="59"/>
        <v>2120.2999999999997</v>
      </c>
      <c r="J296" s="25">
        <f t="shared" si="60"/>
        <v>1</v>
      </c>
      <c r="K296" s="24">
        <f t="shared" si="61"/>
        <v>2120.2999999999997</v>
      </c>
    </row>
    <row r="297" spans="1:11" x14ac:dyDescent="0.3">
      <c r="A297" s="101" t="s">
        <v>836</v>
      </c>
      <c r="B297" s="28" t="s">
        <v>230</v>
      </c>
      <c r="C297" s="54" t="s">
        <v>39</v>
      </c>
      <c r="D297" s="56" t="s">
        <v>229</v>
      </c>
      <c r="E297" s="56"/>
      <c r="F297" s="10">
        <v>1</v>
      </c>
      <c r="G297" s="26">
        <v>373</v>
      </c>
      <c r="H297" s="27">
        <v>0</v>
      </c>
      <c r="I297" s="26">
        <f t="shared" si="59"/>
        <v>373</v>
      </c>
      <c r="J297" s="25">
        <f t="shared" si="60"/>
        <v>1</v>
      </c>
      <c r="K297" s="24">
        <f t="shared" si="61"/>
        <v>373</v>
      </c>
    </row>
    <row r="298" spans="1:11" x14ac:dyDescent="0.3">
      <c r="A298" s="101" t="s">
        <v>836</v>
      </c>
      <c r="B298" s="28" t="s">
        <v>228</v>
      </c>
      <c r="C298" s="54" t="s">
        <v>39</v>
      </c>
      <c r="D298" s="56" t="s">
        <v>227</v>
      </c>
      <c r="E298" s="56"/>
      <c r="F298" s="10">
        <v>1</v>
      </c>
      <c r="G298" s="26">
        <v>750</v>
      </c>
      <c r="H298" s="27">
        <v>0</v>
      </c>
      <c r="I298" s="26">
        <f t="shared" si="59"/>
        <v>750</v>
      </c>
      <c r="J298" s="25">
        <f t="shared" si="60"/>
        <v>1</v>
      </c>
      <c r="K298" s="24">
        <f t="shared" si="61"/>
        <v>750</v>
      </c>
    </row>
    <row r="299" spans="1:11" x14ac:dyDescent="0.3">
      <c r="A299" s="101" t="s">
        <v>836</v>
      </c>
      <c r="B299" s="28" t="s">
        <v>226</v>
      </c>
      <c r="C299" s="54" t="s">
        <v>39</v>
      </c>
      <c r="D299" s="56" t="s">
        <v>225</v>
      </c>
      <c r="E299" s="56"/>
      <c r="F299" s="10">
        <v>1</v>
      </c>
      <c r="G299" s="26">
        <v>1784</v>
      </c>
      <c r="H299" s="27">
        <v>0</v>
      </c>
      <c r="I299" s="26">
        <f t="shared" si="59"/>
        <v>1784</v>
      </c>
      <c r="J299" s="25">
        <f t="shared" si="60"/>
        <v>1</v>
      </c>
      <c r="K299" s="24">
        <f t="shared" si="61"/>
        <v>1784</v>
      </c>
    </row>
    <row r="300" spans="1:11" x14ac:dyDescent="0.3">
      <c r="A300" s="101" t="s">
        <v>836</v>
      </c>
      <c r="B300" s="15" t="s">
        <v>224</v>
      </c>
      <c r="C300" s="54" t="s">
        <v>39</v>
      </c>
      <c r="D300" s="56" t="s">
        <v>223</v>
      </c>
      <c r="E300" s="56"/>
      <c r="F300" s="10">
        <v>1</v>
      </c>
      <c r="G300" s="26">
        <v>245</v>
      </c>
      <c r="H300" s="27">
        <v>0</v>
      </c>
      <c r="I300" s="26">
        <f t="shared" si="59"/>
        <v>245</v>
      </c>
      <c r="J300" s="25">
        <f t="shared" si="60"/>
        <v>1</v>
      </c>
      <c r="K300" s="24">
        <f t="shared" si="61"/>
        <v>245</v>
      </c>
    </row>
    <row r="301" spans="1:11" x14ac:dyDescent="0.3">
      <c r="A301" s="101" t="s">
        <v>836</v>
      </c>
      <c r="B301" s="15" t="s">
        <v>222</v>
      </c>
      <c r="C301" s="54" t="s">
        <v>71</v>
      </c>
      <c r="E301" s="188" t="s">
        <v>221</v>
      </c>
      <c r="F301" s="10">
        <v>1</v>
      </c>
      <c r="G301" s="75">
        <v>655</v>
      </c>
      <c r="H301" s="27">
        <v>0.5</v>
      </c>
      <c r="I301" s="26">
        <f t="shared" si="59"/>
        <v>327.5</v>
      </c>
      <c r="J301" s="25">
        <f t="shared" si="60"/>
        <v>1</v>
      </c>
      <c r="K301" s="24">
        <f t="shared" si="61"/>
        <v>327.5</v>
      </c>
    </row>
    <row r="302" spans="1:11" x14ac:dyDescent="0.3">
      <c r="A302" s="101" t="s">
        <v>836</v>
      </c>
      <c r="B302" s="15"/>
      <c r="C302" s="54"/>
      <c r="D302" s="198"/>
      <c r="E302" s="198"/>
      <c r="F302" s="10"/>
      <c r="G302" s="26"/>
      <c r="H302" s="27"/>
      <c r="I302" s="26"/>
      <c r="J302" s="25"/>
      <c r="K302" s="24"/>
    </row>
    <row r="303" spans="1:11" x14ac:dyDescent="0.3">
      <c r="A303" s="101" t="s">
        <v>836</v>
      </c>
      <c r="B303" s="15" t="s">
        <v>220</v>
      </c>
      <c r="C303" s="54" t="s">
        <v>39</v>
      </c>
      <c r="D303" s="56" t="s">
        <v>219</v>
      </c>
      <c r="E303" s="56"/>
      <c r="F303" s="10">
        <v>1</v>
      </c>
      <c r="G303" s="26">
        <v>737</v>
      </c>
      <c r="H303" s="27">
        <v>0</v>
      </c>
      <c r="I303" s="26">
        <f t="shared" ref="I303:I342" si="62">(G303*(100%-H303))*F303</f>
        <v>737</v>
      </c>
      <c r="J303" s="25">
        <f t="shared" ref="J303:J342" si="63">$K$5</f>
        <v>1</v>
      </c>
      <c r="K303" s="24">
        <f t="shared" ref="K303:K342" si="64">I303/$K$5</f>
        <v>737</v>
      </c>
    </row>
    <row r="304" spans="1:11" x14ac:dyDescent="0.3">
      <c r="A304" s="101" t="s">
        <v>836</v>
      </c>
      <c r="B304" s="15" t="s">
        <v>218</v>
      </c>
      <c r="C304" s="54" t="s">
        <v>39</v>
      </c>
      <c r="D304" s="56" t="s">
        <v>217</v>
      </c>
      <c r="E304" s="56"/>
      <c r="F304" s="10">
        <v>1</v>
      </c>
      <c r="G304" s="26">
        <v>860</v>
      </c>
      <c r="H304" s="27">
        <v>0</v>
      </c>
      <c r="I304" s="26">
        <f t="shared" si="62"/>
        <v>860</v>
      </c>
      <c r="J304" s="25">
        <f t="shared" si="63"/>
        <v>1</v>
      </c>
      <c r="K304" s="24">
        <f t="shared" si="64"/>
        <v>860</v>
      </c>
    </row>
    <row r="305" spans="1:12" x14ac:dyDescent="0.3">
      <c r="A305" s="101" t="s">
        <v>836</v>
      </c>
      <c r="B305" s="28" t="s">
        <v>216</v>
      </c>
      <c r="C305" s="54" t="s">
        <v>39</v>
      </c>
      <c r="D305" s="56" t="s">
        <v>215</v>
      </c>
      <c r="E305" s="56"/>
      <c r="F305" s="10">
        <v>1</v>
      </c>
      <c r="G305" s="26">
        <v>714</v>
      </c>
      <c r="H305" s="27">
        <v>0</v>
      </c>
      <c r="I305" s="26">
        <f t="shared" si="62"/>
        <v>714</v>
      </c>
      <c r="J305" s="25">
        <f t="shared" si="63"/>
        <v>1</v>
      </c>
      <c r="K305" s="24">
        <f t="shared" si="64"/>
        <v>714</v>
      </c>
    </row>
    <row r="306" spans="1:12" x14ac:dyDescent="0.3">
      <c r="A306" s="101" t="s">
        <v>836</v>
      </c>
      <c r="B306" s="28" t="s">
        <v>214</v>
      </c>
      <c r="C306" s="54" t="s">
        <v>39</v>
      </c>
      <c r="D306" s="56" t="s">
        <v>212</v>
      </c>
      <c r="E306" s="56"/>
      <c r="F306" s="10">
        <v>1</v>
      </c>
      <c r="G306" s="26">
        <v>218</v>
      </c>
      <c r="H306" s="27">
        <v>0</v>
      </c>
      <c r="I306" s="26">
        <f t="shared" si="62"/>
        <v>218</v>
      </c>
      <c r="J306" s="25">
        <f t="shared" si="63"/>
        <v>1</v>
      </c>
      <c r="K306" s="24">
        <f t="shared" si="64"/>
        <v>218</v>
      </c>
      <c r="L306" t="s">
        <v>672</v>
      </c>
    </row>
    <row r="307" spans="1:12" x14ac:dyDescent="0.3">
      <c r="A307" s="101" t="s">
        <v>836</v>
      </c>
      <c r="B307" s="28" t="s">
        <v>213</v>
      </c>
      <c r="C307" s="54" t="s">
        <v>39</v>
      </c>
      <c r="D307" s="56" t="s">
        <v>212</v>
      </c>
      <c r="E307" s="56"/>
      <c r="F307" s="10">
        <v>1</v>
      </c>
      <c r="G307" s="26">
        <v>218</v>
      </c>
      <c r="H307" s="27">
        <v>0</v>
      </c>
      <c r="I307" s="26">
        <f t="shared" si="62"/>
        <v>218</v>
      </c>
      <c r="J307" s="25">
        <f t="shared" si="63"/>
        <v>1</v>
      </c>
      <c r="K307" s="24">
        <f t="shared" si="64"/>
        <v>218</v>
      </c>
    </row>
    <row r="308" spans="1:12" x14ac:dyDescent="0.3">
      <c r="A308" s="101" t="s">
        <v>836</v>
      </c>
      <c r="B308" s="28" t="s">
        <v>211</v>
      </c>
      <c r="C308" s="54" t="s">
        <v>39</v>
      </c>
      <c r="D308" s="56"/>
      <c r="E308" s="56"/>
      <c r="F308" s="10">
        <v>1</v>
      </c>
      <c r="G308" s="26">
        <v>782</v>
      </c>
      <c r="H308" s="27">
        <v>0</v>
      </c>
      <c r="I308" s="26">
        <f t="shared" si="62"/>
        <v>782</v>
      </c>
      <c r="J308" s="25">
        <f t="shared" si="63"/>
        <v>1</v>
      </c>
      <c r="K308" s="24">
        <f t="shared" si="64"/>
        <v>782</v>
      </c>
    </row>
    <row r="309" spans="1:12" x14ac:dyDescent="0.3">
      <c r="A309" s="101" t="s">
        <v>836</v>
      </c>
      <c r="B309" s="28" t="s">
        <v>210</v>
      </c>
      <c r="C309" s="54" t="s">
        <v>39</v>
      </c>
      <c r="D309" s="56"/>
      <c r="E309" s="56"/>
      <c r="F309" s="10">
        <v>1</v>
      </c>
      <c r="G309" s="26">
        <v>218</v>
      </c>
      <c r="H309" s="27">
        <v>0</v>
      </c>
      <c r="I309" s="26">
        <f t="shared" si="62"/>
        <v>218</v>
      </c>
      <c r="J309" s="25">
        <f t="shared" si="63"/>
        <v>1</v>
      </c>
      <c r="K309" s="24">
        <f t="shared" si="64"/>
        <v>218</v>
      </c>
    </row>
    <row r="310" spans="1:12" x14ac:dyDescent="0.3">
      <c r="A310" s="101" t="s">
        <v>836</v>
      </c>
      <c r="B310" s="28" t="s">
        <v>209</v>
      </c>
      <c r="C310" s="92" t="s">
        <v>71</v>
      </c>
      <c r="D310" s="56"/>
      <c r="E310" s="56"/>
      <c r="F310" s="10">
        <v>1</v>
      </c>
      <c r="G310" s="26">
        <v>1300</v>
      </c>
      <c r="H310" s="27">
        <v>0</v>
      </c>
      <c r="I310" s="26">
        <f t="shared" si="62"/>
        <v>1300</v>
      </c>
      <c r="J310" s="25">
        <f t="shared" si="63"/>
        <v>1</v>
      </c>
      <c r="K310" s="24">
        <f t="shared" si="64"/>
        <v>1300</v>
      </c>
    </row>
    <row r="311" spans="1:12" x14ac:dyDescent="0.3">
      <c r="A311" s="101" t="s">
        <v>836</v>
      </c>
      <c r="B311" s="28" t="s">
        <v>208</v>
      </c>
      <c r="C311" s="92" t="s">
        <v>71</v>
      </c>
      <c r="D311" s="56"/>
      <c r="E311" s="56"/>
      <c r="F311" s="10">
        <v>1</v>
      </c>
      <c r="G311" s="26">
        <v>1300</v>
      </c>
      <c r="H311" s="27">
        <v>0</v>
      </c>
      <c r="I311" s="26">
        <f t="shared" si="62"/>
        <v>1300</v>
      </c>
      <c r="J311" s="25">
        <f t="shared" si="63"/>
        <v>1</v>
      </c>
      <c r="K311" s="24">
        <f t="shared" si="64"/>
        <v>1300</v>
      </c>
    </row>
    <row r="312" spans="1:12" x14ac:dyDescent="0.3">
      <c r="A312" s="101" t="s">
        <v>836</v>
      </c>
      <c r="B312" s="28" t="s">
        <v>207</v>
      </c>
      <c r="C312" s="54" t="s">
        <v>39</v>
      </c>
      <c r="D312" s="197" t="s">
        <v>206</v>
      </c>
      <c r="E312" s="197"/>
      <c r="F312" s="10">
        <v>1</v>
      </c>
      <c r="G312" s="26">
        <v>59</v>
      </c>
      <c r="H312" s="27">
        <v>0</v>
      </c>
      <c r="I312" s="26">
        <f t="shared" si="62"/>
        <v>59</v>
      </c>
      <c r="J312" s="25">
        <f t="shared" si="63"/>
        <v>1</v>
      </c>
      <c r="K312" s="24">
        <f t="shared" si="64"/>
        <v>59</v>
      </c>
    </row>
    <row r="313" spans="1:12" x14ac:dyDescent="0.3">
      <c r="A313" s="101" t="s">
        <v>836</v>
      </c>
      <c r="B313" s="28" t="s">
        <v>201</v>
      </c>
      <c r="C313" s="54" t="s">
        <v>39</v>
      </c>
      <c r="D313" s="197" t="s">
        <v>205</v>
      </c>
      <c r="E313" s="197"/>
      <c r="F313" s="10">
        <v>1</v>
      </c>
      <c r="G313" s="26">
        <v>78</v>
      </c>
      <c r="H313" s="27">
        <v>0</v>
      </c>
      <c r="I313" s="26">
        <f t="shared" si="62"/>
        <v>78</v>
      </c>
      <c r="J313" s="25">
        <f t="shared" si="63"/>
        <v>1</v>
      </c>
      <c r="K313" s="24">
        <f t="shared" si="64"/>
        <v>78</v>
      </c>
    </row>
    <row r="314" spans="1:12" x14ac:dyDescent="0.3">
      <c r="A314" s="101" t="s">
        <v>836</v>
      </c>
      <c r="B314" s="28" t="s">
        <v>201</v>
      </c>
      <c r="C314" s="54" t="s">
        <v>39</v>
      </c>
      <c r="D314" s="197" t="s">
        <v>204</v>
      </c>
      <c r="E314" s="197"/>
      <c r="F314" s="10">
        <v>1</v>
      </c>
      <c r="G314" s="26">
        <v>92</v>
      </c>
      <c r="H314" s="27">
        <v>0</v>
      </c>
      <c r="I314" s="26">
        <f t="shared" si="62"/>
        <v>92</v>
      </c>
      <c r="J314" s="25">
        <f t="shared" si="63"/>
        <v>1</v>
      </c>
      <c r="K314" s="24">
        <f t="shared" si="64"/>
        <v>92</v>
      </c>
    </row>
    <row r="315" spans="1:12" x14ac:dyDescent="0.3">
      <c r="A315" s="101" t="s">
        <v>836</v>
      </c>
      <c r="B315" s="28" t="s">
        <v>201</v>
      </c>
      <c r="C315" s="54" t="s">
        <v>39</v>
      </c>
      <c r="D315" s="197" t="s">
        <v>203</v>
      </c>
      <c r="E315" s="197"/>
      <c r="F315" s="10">
        <v>1</v>
      </c>
      <c r="G315" s="26">
        <v>116</v>
      </c>
      <c r="H315" s="27">
        <v>0</v>
      </c>
      <c r="I315" s="26">
        <f t="shared" si="62"/>
        <v>116</v>
      </c>
      <c r="J315" s="25">
        <f t="shared" si="63"/>
        <v>1</v>
      </c>
      <c r="K315" s="24">
        <f t="shared" si="64"/>
        <v>116</v>
      </c>
    </row>
    <row r="316" spans="1:12" x14ac:dyDescent="0.3">
      <c r="A316" s="101" t="s">
        <v>836</v>
      </c>
      <c r="B316" s="28" t="s">
        <v>201</v>
      </c>
      <c r="C316" s="54" t="s">
        <v>39</v>
      </c>
      <c r="D316" s="197" t="s">
        <v>202</v>
      </c>
      <c r="E316" s="197"/>
      <c r="F316" s="10">
        <v>0</v>
      </c>
      <c r="G316" s="26">
        <v>137</v>
      </c>
      <c r="H316" s="27">
        <v>0</v>
      </c>
      <c r="I316" s="26">
        <f t="shared" si="62"/>
        <v>0</v>
      </c>
      <c r="J316" s="25">
        <f t="shared" si="63"/>
        <v>1</v>
      </c>
      <c r="K316" s="24">
        <f t="shared" si="64"/>
        <v>0</v>
      </c>
    </row>
    <row r="317" spans="1:12" x14ac:dyDescent="0.3">
      <c r="A317" s="101" t="s">
        <v>836</v>
      </c>
      <c r="B317" s="28" t="s">
        <v>201</v>
      </c>
      <c r="C317" s="54" t="s">
        <v>39</v>
      </c>
      <c r="D317" s="197" t="s">
        <v>200</v>
      </c>
      <c r="E317" s="197"/>
      <c r="F317" s="10">
        <v>0</v>
      </c>
      <c r="G317" s="26">
        <v>171</v>
      </c>
      <c r="H317" s="27">
        <v>0</v>
      </c>
      <c r="I317" s="26">
        <f t="shared" si="62"/>
        <v>0</v>
      </c>
      <c r="J317" s="25">
        <f t="shared" si="63"/>
        <v>1</v>
      </c>
      <c r="K317" s="24">
        <f t="shared" si="64"/>
        <v>0</v>
      </c>
    </row>
    <row r="318" spans="1:12" x14ac:dyDescent="0.3">
      <c r="A318" s="101" t="s">
        <v>836</v>
      </c>
      <c r="B318" s="28" t="s">
        <v>199</v>
      </c>
      <c r="C318" s="54" t="s">
        <v>39</v>
      </c>
      <c r="D318" s="197">
        <v>304120</v>
      </c>
      <c r="E318" s="197"/>
      <c r="F318" s="10">
        <v>0</v>
      </c>
      <c r="G318" s="26">
        <v>3.7</v>
      </c>
      <c r="H318" s="27">
        <v>0</v>
      </c>
      <c r="I318" s="26">
        <f t="shared" si="62"/>
        <v>0</v>
      </c>
      <c r="J318" s="25">
        <f t="shared" si="63"/>
        <v>1</v>
      </c>
      <c r="K318" s="24">
        <f t="shared" si="64"/>
        <v>0</v>
      </c>
    </row>
    <row r="319" spans="1:12" x14ac:dyDescent="0.3">
      <c r="A319" s="101" t="s">
        <v>836</v>
      </c>
      <c r="B319" s="28" t="s">
        <v>198</v>
      </c>
      <c r="C319" s="54" t="s">
        <v>39</v>
      </c>
      <c r="D319" s="197">
        <v>304130</v>
      </c>
      <c r="E319" s="197"/>
      <c r="F319" s="10">
        <v>0</v>
      </c>
      <c r="G319" s="26">
        <v>4.0999999999999996</v>
      </c>
      <c r="H319" s="27">
        <v>0</v>
      </c>
      <c r="I319" s="26">
        <f t="shared" si="62"/>
        <v>0</v>
      </c>
      <c r="J319" s="25">
        <f t="shared" si="63"/>
        <v>1</v>
      </c>
      <c r="K319" s="24">
        <f t="shared" si="64"/>
        <v>0</v>
      </c>
    </row>
    <row r="320" spans="1:12" x14ac:dyDescent="0.3">
      <c r="A320" s="101" t="s">
        <v>836</v>
      </c>
      <c r="B320" s="28" t="s">
        <v>197</v>
      </c>
      <c r="C320" s="54" t="s">
        <v>39</v>
      </c>
      <c r="D320" s="197">
        <v>304140</v>
      </c>
      <c r="E320" s="197"/>
      <c r="F320" s="10">
        <v>0</v>
      </c>
      <c r="G320" s="26">
        <v>7.2</v>
      </c>
      <c r="H320" s="27">
        <v>0</v>
      </c>
      <c r="I320" s="26">
        <f t="shared" si="62"/>
        <v>0</v>
      </c>
      <c r="J320" s="25">
        <f t="shared" si="63"/>
        <v>1</v>
      </c>
      <c r="K320" s="24">
        <f t="shared" si="64"/>
        <v>0</v>
      </c>
    </row>
    <row r="321" spans="1:11" x14ac:dyDescent="0.3">
      <c r="A321" s="101" t="s">
        <v>836</v>
      </c>
      <c r="B321" s="28" t="s">
        <v>196</v>
      </c>
      <c r="C321" s="54" t="s">
        <v>39</v>
      </c>
      <c r="D321" s="197">
        <v>304150</v>
      </c>
      <c r="E321" s="197"/>
      <c r="F321" s="10">
        <v>0</v>
      </c>
      <c r="G321" s="26">
        <v>9.6</v>
      </c>
      <c r="H321" s="27">
        <v>0</v>
      </c>
      <c r="I321" s="26">
        <f t="shared" si="62"/>
        <v>0</v>
      </c>
      <c r="J321" s="25">
        <f t="shared" si="63"/>
        <v>1</v>
      </c>
      <c r="K321" s="24">
        <f t="shared" si="64"/>
        <v>0</v>
      </c>
    </row>
    <row r="322" spans="1:11" x14ac:dyDescent="0.3">
      <c r="A322" s="101" t="s">
        <v>836</v>
      </c>
      <c r="B322" s="28" t="s">
        <v>195</v>
      </c>
      <c r="C322" s="54" t="s">
        <v>39</v>
      </c>
      <c r="D322" s="197">
        <v>304240</v>
      </c>
      <c r="E322" s="197"/>
      <c r="F322" s="10">
        <v>0</v>
      </c>
      <c r="G322" s="26">
        <v>16.600000000000001</v>
      </c>
      <c r="H322" s="27">
        <v>0</v>
      </c>
      <c r="I322" s="26">
        <f t="shared" si="62"/>
        <v>0</v>
      </c>
      <c r="J322" s="25">
        <f t="shared" si="63"/>
        <v>1</v>
      </c>
      <c r="K322" s="24">
        <f t="shared" si="64"/>
        <v>0</v>
      </c>
    </row>
    <row r="323" spans="1:11" x14ac:dyDescent="0.3">
      <c r="A323" s="101" t="s">
        <v>836</v>
      </c>
      <c r="B323" s="28" t="s">
        <v>194</v>
      </c>
      <c r="C323" s="54" t="s">
        <v>39</v>
      </c>
      <c r="D323" s="197">
        <v>304290</v>
      </c>
      <c r="E323" s="197"/>
      <c r="F323" s="10">
        <v>0</v>
      </c>
      <c r="G323" s="26">
        <v>28</v>
      </c>
      <c r="H323" s="27">
        <v>0</v>
      </c>
      <c r="I323" s="26">
        <f t="shared" si="62"/>
        <v>0</v>
      </c>
      <c r="J323" s="25">
        <f t="shared" si="63"/>
        <v>1</v>
      </c>
      <c r="K323" s="24">
        <f t="shared" si="64"/>
        <v>0</v>
      </c>
    </row>
    <row r="324" spans="1:11" x14ac:dyDescent="0.3">
      <c r="A324" s="101" t="s">
        <v>836</v>
      </c>
      <c r="B324" s="14" t="s">
        <v>712</v>
      </c>
      <c r="C324" s="54" t="s">
        <v>39</v>
      </c>
      <c r="D324" s="197" t="s">
        <v>713</v>
      </c>
      <c r="E324" s="197"/>
      <c r="F324" s="10">
        <v>0</v>
      </c>
      <c r="G324" s="26">
        <v>12</v>
      </c>
      <c r="H324" s="27">
        <v>0</v>
      </c>
      <c r="I324" s="26">
        <f t="shared" si="62"/>
        <v>0</v>
      </c>
      <c r="J324" s="25">
        <f t="shared" si="63"/>
        <v>1</v>
      </c>
      <c r="K324" s="24">
        <f t="shared" si="64"/>
        <v>0</v>
      </c>
    </row>
    <row r="325" spans="1:11" x14ac:dyDescent="0.3">
      <c r="A325" s="101" t="s">
        <v>836</v>
      </c>
      <c r="B325" s="14" t="s">
        <v>193</v>
      </c>
      <c r="C325" s="54" t="s">
        <v>39</v>
      </c>
      <c r="D325" s="197" t="s">
        <v>192</v>
      </c>
      <c r="E325" s="197"/>
      <c r="F325" s="10">
        <v>0</v>
      </c>
      <c r="G325" s="26">
        <v>38.299999999999997</v>
      </c>
      <c r="H325" s="27">
        <v>0</v>
      </c>
      <c r="I325" s="26">
        <f t="shared" si="62"/>
        <v>0</v>
      </c>
      <c r="J325" s="25">
        <f t="shared" si="63"/>
        <v>1</v>
      </c>
      <c r="K325" s="24">
        <f t="shared" si="64"/>
        <v>0</v>
      </c>
    </row>
    <row r="326" spans="1:11" x14ac:dyDescent="0.3">
      <c r="A326" s="101" t="s">
        <v>836</v>
      </c>
      <c r="B326" s="14" t="s">
        <v>191</v>
      </c>
      <c r="C326" s="54" t="s">
        <v>39</v>
      </c>
      <c r="D326" s="197" t="s">
        <v>190</v>
      </c>
      <c r="E326" s="197"/>
      <c r="F326" s="10">
        <v>0</v>
      </c>
      <c r="G326" s="26">
        <v>51.32</v>
      </c>
      <c r="H326" s="27">
        <v>0</v>
      </c>
      <c r="I326" s="26">
        <f t="shared" si="62"/>
        <v>0</v>
      </c>
      <c r="J326" s="25">
        <f t="shared" si="63"/>
        <v>1</v>
      </c>
      <c r="K326" s="24">
        <f t="shared" si="64"/>
        <v>0</v>
      </c>
    </row>
    <row r="327" spans="1:11" x14ac:dyDescent="0.3">
      <c r="A327" s="101" t="s">
        <v>836</v>
      </c>
      <c r="B327" s="14" t="s">
        <v>189</v>
      </c>
      <c r="C327" s="54" t="s">
        <v>39</v>
      </c>
      <c r="D327" s="197" t="s">
        <v>188</v>
      </c>
      <c r="E327" s="197"/>
      <c r="F327" s="10">
        <v>0</v>
      </c>
      <c r="G327" s="26">
        <v>72.34</v>
      </c>
      <c r="H327" s="27">
        <v>0</v>
      </c>
      <c r="I327" s="26">
        <f t="shared" si="62"/>
        <v>0</v>
      </c>
      <c r="J327" s="25">
        <f t="shared" si="63"/>
        <v>1</v>
      </c>
      <c r="K327" s="24">
        <f t="shared" si="64"/>
        <v>0</v>
      </c>
    </row>
    <row r="328" spans="1:11" x14ac:dyDescent="0.3">
      <c r="A328" s="101" t="s">
        <v>836</v>
      </c>
      <c r="B328" s="14" t="s">
        <v>187</v>
      </c>
      <c r="C328" s="54" t="s">
        <v>39</v>
      </c>
      <c r="D328" s="197" t="s">
        <v>186</v>
      </c>
      <c r="E328" s="197"/>
      <c r="F328" s="10">
        <v>0</v>
      </c>
      <c r="G328" s="26">
        <v>108.4</v>
      </c>
      <c r="H328" s="27">
        <v>0</v>
      </c>
      <c r="I328" s="26">
        <f t="shared" si="62"/>
        <v>0</v>
      </c>
      <c r="J328" s="25">
        <f t="shared" si="63"/>
        <v>1</v>
      </c>
      <c r="K328" s="24">
        <f t="shared" si="64"/>
        <v>0</v>
      </c>
    </row>
    <row r="329" spans="1:11" x14ac:dyDescent="0.3">
      <c r="A329" s="101" t="s">
        <v>836</v>
      </c>
      <c r="B329" s="14" t="s">
        <v>185</v>
      </c>
      <c r="C329" s="54" t="s">
        <v>39</v>
      </c>
      <c r="D329" s="197" t="s">
        <v>184</v>
      </c>
      <c r="E329" s="197"/>
      <c r="F329" s="10">
        <v>0</v>
      </c>
      <c r="G329" s="26">
        <v>189.05</v>
      </c>
      <c r="H329" s="27">
        <v>0</v>
      </c>
      <c r="I329" s="26">
        <f t="shared" si="62"/>
        <v>0</v>
      </c>
      <c r="J329" s="25">
        <f t="shared" si="63"/>
        <v>1</v>
      </c>
      <c r="K329" s="24">
        <f t="shared" si="64"/>
        <v>0</v>
      </c>
    </row>
    <row r="330" spans="1:11" x14ac:dyDescent="0.3">
      <c r="A330" s="101" t="s">
        <v>836</v>
      </c>
      <c r="B330" s="14" t="s">
        <v>183</v>
      </c>
      <c r="C330" s="54" t="s">
        <v>39</v>
      </c>
      <c r="D330" s="197" t="s">
        <v>182</v>
      </c>
      <c r="E330" s="197"/>
      <c r="F330" s="10">
        <v>0</v>
      </c>
      <c r="G330" s="26">
        <v>355.9</v>
      </c>
      <c r="H330" s="27">
        <v>0</v>
      </c>
      <c r="I330" s="26">
        <f t="shared" si="62"/>
        <v>0</v>
      </c>
      <c r="J330" s="25">
        <f t="shared" si="63"/>
        <v>1</v>
      </c>
      <c r="K330" s="24">
        <f t="shared" si="64"/>
        <v>0</v>
      </c>
    </row>
    <row r="331" spans="1:11" x14ac:dyDescent="0.3">
      <c r="A331" s="101" t="s">
        <v>836</v>
      </c>
      <c r="B331" s="14" t="s">
        <v>181</v>
      </c>
      <c r="C331" s="54" t="s">
        <v>39</v>
      </c>
      <c r="D331" s="197" t="s">
        <v>180</v>
      </c>
      <c r="E331" s="197"/>
      <c r="F331" s="10">
        <v>0</v>
      </c>
      <c r="G331" s="26">
        <v>542</v>
      </c>
      <c r="H331" s="27">
        <v>0</v>
      </c>
      <c r="I331" s="26">
        <f t="shared" si="62"/>
        <v>0</v>
      </c>
      <c r="J331" s="25">
        <f t="shared" si="63"/>
        <v>1</v>
      </c>
      <c r="K331" s="24">
        <f t="shared" si="64"/>
        <v>0</v>
      </c>
    </row>
    <row r="332" spans="1:11" x14ac:dyDescent="0.3">
      <c r="A332" s="101" t="s">
        <v>836</v>
      </c>
      <c r="B332" s="15" t="s">
        <v>179</v>
      </c>
      <c r="C332" s="54" t="s">
        <v>39</v>
      </c>
      <c r="D332" s="197" t="s">
        <v>178</v>
      </c>
      <c r="E332" s="197"/>
      <c r="F332" s="10">
        <v>0</v>
      </c>
      <c r="G332" s="26">
        <v>796</v>
      </c>
      <c r="H332" s="27">
        <v>0</v>
      </c>
      <c r="I332" s="26">
        <f t="shared" si="62"/>
        <v>0</v>
      </c>
      <c r="J332" s="25">
        <f t="shared" si="63"/>
        <v>1</v>
      </c>
      <c r="K332" s="24">
        <f t="shared" si="64"/>
        <v>0</v>
      </c>
    </row>
    <row r="333" spans="1:11" x14ac:dyDescent="0.3">
      <c r="A333" s="101" t="s">
        <v>836</v>
      </c>
      <c r="B333" s="15" t="s">
        <v>177</v>
      </c>
      <c r="C333" s="54" t="s">
        <v>39</v>
      </c>
      <c r="D333" s="197" t="s">
        <v>176</v>
      </c>
      <c r="E333" s="197"/>
      <c r="F333" s="10">
        <v>0</v>
      </c>
      <c r="G333" s="26">
        <v>197</v>
      </c>
      <c r="H333" s="27">
        <v>0</v>
      </c>
      <c r="I333" s="26">
        <f t="shared" si="62"/>
        <v>0</v>
      </c>
      <c r="J333" s="25">
        <f t="shared" si="63"/>
        <v>1</v>
      </c>
      <c r="K333" s="24">
        <f t="shared" si="64"/>
        <v>0</v>
      </c>
    </row>
    <row r="334" spans="1:11" x14ac:dyDescent="0.3">
      <c r="A334" s="101" t="s">
        <v>836</v>
      </c>
      <c r="B334" s="15" t="s">
        <v>173</v>
      </c>
      <c r="C334" s="54" t="s">
        <v>39</v>
      </c>
      <c r="D334" s="197" t="s">
        <v>175</v>
      </c>
      <c r="E334" s="197"/>
      <c r="F334" s="10">
        <v>0</v>
      </c>
      <c r="G334" s="26">
        <v>442</v>
      </c>
      <c r="H334" s="27">
        <v>0</v>
      </c>
      <c r="I334" s="26">
        <f t="shared" si="62"/>
        <v>0</v>
      </c>
      <c r="J334" s="25">
        <f t="shared" si="63"/>
        <v>1</v>
      </c>
      <c r="K334" s="24">
        <f t="shared" si="64"/>
        <v>0</v>
      </c>
    </row>
    <row r="335" spans="1:11" x14ac:dyDescent="0.3">
      <c r="A335" s="101" t="s">
        <v>836</v>
      </c>
      <c r="B335" s="15" t="s">
        <v>173</v>
      </c>
      <c r="C335" s="54" t="s">
        <v>39</v>
      </c>
      <c r="D335" s="197" t="s">
        <v>174</v>
      </c>
      <c r="E335" s="197"/>
      <c r="F335" s="10">
        <v>0</v>
      </c>
      <c r="G335" s="26">
        <v>455</v>
      </c>
      <c r="H335" s="27">
        <v>0</v>
      </c>
      <c r="I335" s="26">
        <f t="shared" si="62"/>
        <v>0</v>
      </c>
      <c r="J335" s="25">
        <f t="shared" si="63"/>
        <v>1</v>
      </c>
      <c r="K335" s="24">
        <f t="shared" si="64"/>
        <v>0</v>
      </c>
    </row>
    <row r="336" spans="1:11" x14ac:dyDescent="0.3">
      <c r="A336" s="101" t="s">
        <v>836</v>
      </c>
      <c r="B336" s="15" t="s">
        <v>173</v>
      </c>
      <c r="C336" s="54" t="s">
        <v>39</v>
      </c>
      <c r="D336" s="197" t="s">
        <v>172</v>
      </c>
      <c r="E336" s="197"/>
      <c r="F336" s="10">
        <v>0</v>
      </c>
      <c r="G336" s="26">
        <v>1046</v>
      </c>
      <c r="H336" s="27">
        <v>0</v>
      </c>
      <c r="I336" s="26">
        <f t="shared" si="62"/>
        <v>0</v>
      </c>
      <c r="J336" s="25">
        <f t="shared" si="63"/>
        <v>1</v>
      </c>
      <c r="K336" s="24">
        <f t="shared" si="64"/>
        <v>0</v>
      </c>
    </row>
    <row r="337" spans="1:16" x14ac:dyDescent="0.3">
      <c r="A337" s="101" t="s">
        <v>836</v>
      </c>
      <c r="B337" s="15" t="s">
        <v>171</v>
      </c>
      <c r="C337" s="54" t="s">
        <v>39</v>
      </c>
      <c r="D337" s="197" t="s">
        <v>170</v>
      </c>
      <c r="E337" s="197"/>
      <c r="F337" s="10">
        <v>0</v>
      </c>
      <c r="G337" s="26">
        <v>796</v>
      </c>
      <c r="H337" s="27">
        <v>0</v>
      </c>
      <c r="I337" s="26">
        <f t="shared" si="62"/>
        <v>0</v>
      </c>
      <c r="J337" s="25">
        <f t="shared" si="63"/>
        <v>1</v>
      </c>
      <c r="K337" s="24">
        <f t="shared" si="64"/>
        <v>0</v>
      </c>
    </row>
    <row r="338" spans="1:16" x14ac:dyDescent="0.3">
      <c r="A338" s="101" t="s">
        <v>836</v>
      </c>
      <c r="B338" s="15" t="s">
        <v>169</v>
      </c>
      <c r="C338" s="54" t="s">
        <v>39</v>
      </c>
      <c r="D338" s="197" t="s">
        <v>168</v>
      </c>
      <c r="E338" s="197"/>
      <c r="F338" s="10">
        <v>0</v>
      </c>
      <c r="G338" s="26">
        <v>460</v>
      </c>
      <c r="H338" s="27">
        <v>0</v>
      </c>
      <c r="I338" s="26">
        <f t="shared" si="62"/>
        <v>0</v>
      </c>
      <c r="J338" s="25">
        <f t="shared" si="63"/>
        <v>1</v>
      </c>
      <c r="K338" s="24">
        <f t="shared" si="64"/>
        <v>0</v>
      </c>
    </row>
    <row r="339" spans="1:16" x14ac:dyDescent="0.3">
      <c r="A339" s="101" t="s">
        <v>836</v>
      </c>
      <c r="B339" s="15" t="s">
        <v>167</v>
      </c>
      <c r="C339" s="54" t="s">
        <v>39</v>
      </c>
      <c r="D339" s="197" t="s">
        <v>166</v>
      </c>
      <c r="E339" s="197"/>
      <c r="F339" s="10">
        <v>0</v>
      </c>
      <c r="G339" s="26">
        <v>563</v>
      </c>
      <c r="H339" s="27">
        <v>0</v>
      </c>
      <c r="I339" s="26">
        <f t="shared" si="62"/>
        <v>0</v>
      </c>
      <c r="J339" s="25">
        <f t="shared" si="63"/>
        <v>1</v>
      </c>
      <c r="K339" s="24">
        <f t="shared" si="64"/>
        <v>0</v>
      </c>
    </row>
    <row r="340" spans="1:16" x14ac:dyDescent="0.3">
      <c r="A340" s="101" t="s">
        <v>836</v>
      </c>
      <c r="B340" s="15" t="s">
        <v>165</v>
      </c>
      <c r="C340" s="54" t="s">
        <v>39</v>
      </c>
      <c r="D340" s="197" t="s">
        <v>164</v>
      </c>
      <c r="E340" s="197"/>
      <c r="F340" s="10">
        <v>0</v>
      </c>
      <c r="G340" s="26">
        <v>853</v>
      </c>
      <c r="H340" s="27">
        <v>0</v>
      </c>
      <c r="I340" s="26">
        <f t="shared" si="62"/>
        <v>0</v>
      </c>
      <c r="J340" s="25">
        <f t="shared" si="63"/>
        <v>1</v>
      </c>
      <c r="K340" s="24">
        <f t="shared" si="64"/>
        <v>0</v>
      </c>
    </row>
    <row r="341" spans="1:16" x14ac:dyDescent="0.3">
      <c r="A341" s="101" t="s">
        <v>836</v>
      </c>
      <c r="B341" s="15" t="s">
        <v>163</v>
      </c>
      <c r="C341" s="54" t="s">
        <v>39</v>
      </c>
      <c r="D341" s="197" t="s">
        <v>162</v>
      </c>
      <c r="E341" s="197"/>
      <c r="F341" s="10">
        <v>0</v>
      </c>
      <c r="G341" s="26">
        <v>1599</v>
      </c>
      <c r="H341" s="27">
        <v>0</v>
      </c>
      <c r="I341" s="26">
        <f t="shared" si="62"/>
        <v>0</v>
      </c>
      <c r="J341" s="25">
        <f t="shared" si="63"/>
        <v>1</v>
      </c>
      <c r="K341" s="24">
        <f t="shared" si="64"/>
        <v>0</v>
      </c>
    </row>
    <row r="342" spans="1:16" x14ac:dyDescent="0.3">
      <c r="A342" s="101" t="s">
        <v>836</v>
      </c>
      <c r="B342" s="15" t="s">
        <v>161</v>
      </c>
      <c r="C342" s="54" t="s">
        <v>39</v>
      </c>
      <c r="D342" s="197" t="s">
        <v>160</v>
      </c>
      <c r="E342" s="197"/>
      <c r="F342" s="10">
        <v>0</v>
      </c>
      <c r="G342" s="26">
        <v>1781</v>
      </c>
      <c r="H342" s="27">
        <v>0</v>
      </c>
      <c r="I342" s="26">
        <f t="shared" si="62"/>
        <v>0</v>
      </c>
      <c r="J342" s="25">
        <f t="shared" si="63"/>
        <v>1</v>
      </c>
      <c r="K342" s="24">
        <f t="shared" si="64"/>
        <v>0</v>
      </c>
    </row>
    <row r="343" spans="1:16" x14ac:dyDescent="0.3">
      <c r="A343" s="101" t="s">
        <v>836</v>
      </c>
      <c r="B343" s="15"/>
      <c r="C343" s="54"/>
      <c r="D343" s="197"/>
      <c r="E343" s="197"/>
      <c r="F343" s="10"/>
      <c r="G343" s="26"/>
      <c r="H343" s="27"/>
      <c r="I343" s="26"/>
      <c r="J343" s="25"/>
      <c r="K343" s="24"/>
    </row>
    <row r="344" spans="1:16" x14ac:dyDescent="0.3">
      <c r="A344" s="101" t="s">
        <v>836</v>
      </c>
      <c r="B344" s="15" t="s">
        <v>809</v>
      </c>
      <c r="C344" s="54" t="s">
        <v>159</v>
      </c>
      <c r="D344" s="197"/>
      <c r="E344" s="197"/>
      <c r="F344" s="10">
        <v>0</v>
      </c>
      <c r="G344" s="26">
        <v>150</v>
      </c>
      <c r="H344" s="27">
        <v>0</v>
      </c>
      <c r="I344" s="26">
        <f>(G344*(100%-H344))*F344</f>
        <v>0</v>
      </c>
      <c r="J344" s="25">
        <f>$K$5</f>
        <v>1</v>
      </c>
      <c r="K344" s="24">
        <f>I344/$K$5</f>
        <v>0</v>
      </c>
    </row>
    <row r="345" spans="1:16" x14ac:dyDescent="0.3">
      <c r="A345" s="101" t="s">
        <v>836</v>
      </c>
      <c r="B345" s="15" t="s">
        <v>692</v>
      </c>
      <c r="C345" s="54" t="s">
        <v>600</v>
      </c>
      <c r="D345" s="197"/>
      <c r="E345" s="197"/>
      <c r="F345" s="10">
        <v>0</v>
      </c>
      <c r="G345" s="26">
        <f>N345</f>
        <v>54</v>
      </c>
      <c r="H345" s="27">
        <v>0</v>
      </c>
      <c r="I345" s="26">
        <f>(G345*(100%-H345))*F345</f>
        <v>0</v>
      </c>
      <c r="J345" s="25">
        <f>$K$5</f>
        <v>1</v>
      </c>
      <c r="K345" s="24">
        <f>I345/$K$5</f>
        <v>0</v>
      </c>
      <c r="L345">
        <v>0</v>
      </c>
      <c r="M345">
        <v>54</v>
      </c>
      <c r="N345">
        <f>SUM(L345:M345)</f>
        <v>54</v>
      </c>
    </row>
    <row r="346" spans="1:16" x14ac:dyDescent="0.3">
      <c r="A346" s="101" t="s">
        <v>836</v>
      </c>
      <c r="B346" s="15" t="s">
        <v>690</v>
      </c>
      <c r="C346" s="54" t="s">
        <v>600</v>
      </c>
      <c r="D346" s="197"/>
      <c r="E346" s="197"/>
      <c r="F346" s="10">
        <v>0</v>
      </c>
      <c r="G346" s="26">
        <f>N346</f>
        <v>2.8</v>
      </c>
      <c r="H346" s="27">
        <v>0</v>
      </c>
      <c r="I346" s="26">
        <f>(G346*(100%-H346))*F346</f>
        <v>0</v>
      </c>
      <c r="J346" s="25">
        <f>$K$5</f>
        <v>1</v>
      </c>
      <c r="K346" s="24">
        <f>I346/$K$5</f>
        <v>0</v>
      </c>
      <c r="L346">
        <v>1.6</v>
      </c>
      <c r="M346">
        <v>1.2</v>
      </c>
      <c r="N346">
        <f>SUM(L346:M346)</f>
        <v>2.8</v>
      </c>
      <c r="P346" t="s">
        <v>693</v>
      </c>
    </row>
    <row r="347" spans="1:16" x14ac:dyDescent="0.3">
      <c r="A347" s="101" t="s">
        <v>836</v>
      </c>
      <c r="B347" s="15" t="s">
        <v>691</v>
      </c>
      <c r="C347" s="54" t="s">
        <v>600</v>
      </c>
      <c r="D347" s="197"/>
      <c r="E347" s="197"/>
      <c r="F347" s="10">
        <v>0</v>
      </c>
      <c r="G347" s="26">
        <f>N347</f>
        <v>8</v>
      </c>
      <c r="H347" s="27">
        <v>0</v>
      </c>
      <c r="I347" s="26">
        <f>(G347*(100%-H347))*F347</f>
        <v>0</v>
      </c>
      <c r="J347" s="25">
        <f>$K$5</f>
        <v>1</v>
      </c>
      <c r="K347" s="24">
        <f>I347/$K$5</f>
        <v>0</v>
      </c>
      <c r="M347">
        <v>8</v>
      </c>
      <c r="N347">
        <f>SUM(L347:M347)</f>
        <v>8</v>
      </c>
      <c r="P347" t="s">
        <v>694</v>
      </c>
    </row>
    <row r="348" spans="1:16" x14ac:dyDescent="0.3">
      <c r="A348" s="101" t="s">
        <v>836</v>
      </c>
      <c r="B348" s="15"/>
      <c r="C348" s="54"/>
      <c r="D348" s="197"/>
      <c r="E348" s="197"/>
      <c r="F348" s="10"/>
      <c r="G348" s="26"/>
      <c r="H348" s="27"/>
      <c r="I348" s="26"/>
      <c r="J348" s="25"/>
      <c r="K348" s="24"/>
    </row>
    <row r="349" spans="1:16" x14ac:dyDescent="0.3">
      <c r="A349" s="101" t="s">
        <v>836</v>
      </c>
      <c r="B349" s="28" t="s">
        <v>158</v>
      </c>
      <c r="C349" s="92" t="s">
        <v>39</v>
      </c>
      <c r="D349" s="197" t="s">
        <v>158</v>
      </c>
      <c r="E349" s="197"/>
      <c r="F349" s="10">
        <v>0</v>
      </c>
      <c r="G349" s="62">
        <v>3330</v>
      </c>
      <c r="H349" s="27">
        <v>0</v>
      </c>
      <c r="I349" s="26">
        <f t="shared" ref="I349:I354" si="65">(G349*(100%-H349))*F349</f>
        <v>0</v>
      </c>
      <c r="J349" s="25">
        <f t="shared" ref="J349:J354" si="66">$K$5</f>
        <v>1</v>
      </c>
      <c r="K349" s="24">
        <f t="shared" ref="K349:K354" si="67">I349/$K$5</f>
        <v>0</v>
      </c>
    </row>
    <row r="350" spans="1:16" x14ac:dyDescent="0.3">
      <c r="A350" s="101" t="s">
        <v>836</v>
      </c>
      <c r="B350" s="28" t="s">
        <v>157</v>
      </c>
      <c r="C350" s="92" t="s">
        <v>39</v>
      </c>
      <c r="D350" s="197">
        <v>485105</v>
      </c>
      <c r="E350" s="197"/>
      <c r="F350" s="10">
        <v>0</v>
      </c>
      <c r="G350" s="62">
        <v>157</v>
      </c>
      <c r="H350" s="27">
        <v>0</v>
      </c>
      <c r="I350" s="26">
        <f t="shared" si="65"/>
        <v>0</v>
      </c>
      <c r="J350" s="25">
        <f t="shared" si="66"/>
        <v>1</v>
      </c>
      <c r="K350" s="24">
        <f t="shared" si="67"/>
        <v>0</v>
      </c>
    </row>
    <row r="351" spans="1:16" x14ac:dyDescent="0.3">
      <c r="A351" s="101" t="s">
        <v>836</v>
      </c>
      <c r="B351" s="28" t="s">
        <v>156</v>
      </c>
      <c r="C351" s="92" t="s">
        <v>39</v>
      </c>
      <c r="D351" s="197"/>
      <c r="E351" s="197"/>
      <c r="F351" s="10">
        <v>0</v>
      </c>
      <c r="G351" s="62">
        <v>7</v>
      </c>
      <c r="H351" s="27">
        <v>0</v>
      </c>
      <c r="I351" s="26">
        <f t="shared" si="65"/>
        <v>0</v>
      </c>
      <c r="J351" s="25">
        <f t="shared" si="66"/>
        <v>1</v>
      </c>
      <c r="K351" s="24">
        <f t="shared" si="67"/>
        <v>0</v>
      </c>
    </row>
    <row r="352" spans="1:16" x14ac:dyDescent="0.3">
      <c r="A352" s="101" t="s">
        <v>836</v>
      </c>
      <c r="B352" s="28" t="s">
        <v>155</v>
      </c>
      <c r="C352" s="92" t="s">
        <v>154</v>
      </c>
      <c r="D352" s="197"/>
      <c r="E352" s="197"/>
      <c r="F352" s="10">
        <v>0</v>
      </c>
      <c r="G352" s="62">
        <v>30000</v>
      </c>
      <c r="H352" s="27">
        <v>0</v>
      </c>
      <c r="I352" s="26">
        <f t="shared" si="65"/>
        <v>0</v>
      </c>
      <c r="J352" s="25">
        <f t="shared" si="66"/>
        <v>1</v>
      </c>
      <c r="K352" s="24">
        <f t="shared" si="67"/>
        <v>0</v>
      </c>
    </row>
    <row r="353" spans="1:11" x14ac:dyDescent="0.3">
      <c r="A353" s="101" t="s">
        <v>836</v>
      </c>
      <c r="B353" s="28" t="s">
        <v>119</v>
      </c>
      <c r="C353" s="54"/>
      <c r="D353" s="197"/>
      <c r="E353" s="197"/>
      <c r="F353" s="10">
        <v>0</v>
      </c>
      <c r="G353" s="62">
        <v>1200</v>
      </c>
      <c r="H353" s="27">
        <v>0</v>
      </c>
      <c r="I353" s="26">
        <f t="shared" si="65"/>
        <v>0</v>
      </c>
      <c r="J353" s="25">
        <f t="shared" si="66"/>
        <v>1</v>
      </c>
      <c r="K353" s="24">
        <f t="shared" si="67"/>
        <v>0</v>
      </c>
    </row>
    <row r="354" spans="1:11" x14ac:dyDescent="0.3">
      <c r="A354" s="101" t="s">
        <v>836</v>
      </c>
      <c r="B354" s="28" t="s">
        <v>149</v>
      </c>
      <c r="C354" s="54"/>
      <c r="D354" s="197" t="s">
        <v>148</v>
      </c>
      <c r="E354" s="197"/>
      <c r="F354" s="10">
        <v>0</v>
      </c>
      <c r="G354" s="62">
        <v>1137</v>
      </c>
      <c r="H354" s="27">
        <v>0</v>
      </c>
      <c r="I354" s="26">
        <f t="shared" si="65"/>
        <v>0</v>
      </c>
      <c r="J354" s="25">
        <f t="shared" si="66"/>
        <v>1</v>
      </c>
      <c r="K354" s="24">
        <f t="shared" si="67"/>
        <v>0</v>
      </c>
    </row>
    <row r="355" spans="1:11" x14ac:dyDescent="0.3">
      <c r="A355" s="101" t="s">
        <v>836</v>
      </c>
      <c r="B355" s="28"/>
      <c r="C355" s="54"/>
      <c r="D355" s="197"/>
      <c r="E355" s="197"/>
      <c r="F355" s="10"/>
      <c r="G355" s="62"/>
      <c r="H355" s="27"/>
      <c r="I355" s="26"/>
      <c r="J355" s="25"/>
      <c r="K355" s="24"/>
    </row>
    <row r="356" spans="1:11" x14ac:dyDescent="0.3">
      <c r="A356" s="101" t="s">
        <v>836</v>
      </c>
      <c r="B356" s="28" t="s">
        <v>144</v>
      </c>
      <c r="C356" s="54" t="s">
        <v>39</v>
      </c>
      <c r="D356" s="197" t="s">
        <v>147</v>
      </c>
      <c r="E356" s="197"/>
      <c r="F356" s="10">
        <v>0</v>
      </c>
      <c r="G356" s="26">
        <v>101</v>
      </c>
      <c r="H356" s="27">
        <v>0</v>
      </c>
      <c r="I356" s="26">
        <f>(G356*(100%-H356))*F356</f>
        <v>0</v>
      </c>
      <c r="J356" s="25">
        <f>$K$5</f>
        <v>1</v>
      </c>
      <c r="K356" s="24">
        <f>I356/$K$5</f>
        <v>0</v>
      </c>
    </row>
    <row r="357" spans="1:11" x14ac:dyDescent="0.3">
      <c r="A357" s="101" t="s">
        <v>836</v>
      </c>
      <c r="B357" s="28" t="s">
        <v>144</v>
      </c>
      <c r="C357" s="54"/>
      <c r="D357" s="197"/>
      <c r="E357" s="197"/>
      <c r="F357" s="10">
        <v>0</v>
      </c>
      <c r="G357" s="62">
        <v>300</v>
      </c>
      <c r="H357" s="27">
        <v>0</v>
      </c>
      <c r="I357" s="26">
        <f>(G357*(100%-H357))*F357</f>
        <v>0</v>
      </c>
      <c r="J357" s="25">
        <f>$K$5</f>
        <v>1</v>
      </c>
      <c r="K357" s="24">
        <f>I357/$K$5</f>
        <v>0</v>
      </c>
    </row>
    <row r="358" spans="1:11" x14ac:dyDescent="0.3">
      <c r="A358" s="101" t="s">
        <v>836</v>
      </c>
      <c r="B358" s="28" t="s">
        <v>144</v>
      </c>
      <c r="C358" s="54"/>
      <c r="D358" s="197" t="s">
        <v>146</v>
      </c>
      <c r="E358" s="197"/>
      <c r="F358" s="10">
        <v>0</v>
      </c>
      <c r="G358" s="62">
        <v>330</v>
      </c>
      <c r="H358" s="27">
        <v>0</v>
      </c>
      <c r="I358" s="26">
        <f>(G358*(100%-H358))*F358</f>
        <v>0</v>
      </c>
      <c r="J358" s="25">
        <f>$K$5</f>
        <v>1</v>
      </c>
      <c r="K358" s="24">
        <f>I358/$K$5</f>
        <v>0</v>
      </c>
    </row>
    <row r="359" spans="1:11" x14ac:dyDescent="0.3">
      <c r="A359" s="101" t="s">
        <v>836</v>
      </c>
      <c r="B359" s="28" t="s">
        <v>144</v>
      </c>
      <c r="C359" s="54"/>
      <c r="D359" s="197" t="s">
        <v>145</v>
      </c>
      <c r="E359" s="197"/>
      <c r="F359" s="10">
        <v>0</v>
      </c>
      <c r="G359" s="62">
        <v>560</v>
      </c>
      <c r="H359" s="27">
        <v>0</v>
      </c>
      <c r="I359" s="26">
        <f>(G359*(100%-H359))*F359</f>
        <v>0</v>
      </c>
      <c r="J359" s="25">
        <f>$K$5</f>
        <v>1</v>
      </c>
      <c r="K359" s="24">
        <f>I359/$K$5</f>
        <v>0</v>
      </c>
    </row>
    <row r="360" spans="1:11" x14ac:dyDescent="0.3">
      <c r="A360" s="101" t="s">
        <v>836</v>
      </c>
      <c r="B360" s="28" t="s">
        <v>144</v>
      </c>
      <c r="C360" s="54"/>
      <c r="D360" s="197" t="s">
        <v>143</v>
      </c>
      <c r="E360" s="197"/>
      <c r="F360" s="10">
        <v>0</v>
      </c>
      <c r="G360" s="62">
        <v>720</v>
      </c>
      <c r="H360" s="27">
        <v>0</v>
      </c>
      <c r="I360" s="26">
        <f>(G360*(100%-H360))*F360</f>
        <v>0</v>
      </c>
      <c r="J360" s="25">
        <f>$K$5</f>
        <v>1</v>
      </c>
      <c r="K360" s="24">
        <f>I360/$K$5</f>
        <v>0</v>
      </c>
    </row>
    <row r="361" spans="1:11" x14ac:dyDescent="0.3">
      <c r="A361" s="101" t="s">
        <v>836</v>
      </c>
      <c r="B361" s="28"/>
      <c r="C361" s="54"/>
      <c r="D361" s="197"/>
      <c r="E361" s="197"/>
      <c r="F361" s="10"/>
      <c r="G361" s="62"/>
      <c r="H361" s="27"/>
      <c r="I361" s="26"/>
      <c r="J361" s="25"/>
      <c r="K361" s="24"/>
    </row>
    <row r="362" spans="1:11" x14ac:dyDescent="0.3">
      <c r="A362" s="101" t="s">
        <v>836</v>
      </c>
      <c r="B362" s="28" t="s">
        <v>695</v>
      </c>
      <c r="C362" s="92"/>
      <c r="D362" s="197"/>
      <c r="E362" s="197"/>
      <c r="F362" s="10">
        <v>0</v>
      </c>
      <c r="G362" s="62">
        <v>950</v>
      </c>
      <c r="H362" s="27">
        <v>0</v>
      </c>
      <c r="I362" s="26">
        <f>(G362*(100%-H362))*F362</f>
        <v>0</v>
      </c>
      <c r="J362" s="25">
        <f>$K$5</f>
        <v>1</v>
      </c>
      <c r="K362" s="24">
        <f>I362/$K$5</f>
        <v>0</v>
      </c>
    </row>
    <row r="363" spans="1:11" x14ac:dyDescent="0.3">
      <c r="A363" s="101" t="s">
        <v>836</v>
      </c>
      <c r="B363" s="28"/>
      <c r="C363" s="54"/>
      <c r="D363" s="197"/>
      <c r="E363" s="197"/>
      <c r="F363" s="10"/>
      <c r="G363" s="62"/>
      <c r="H363" s="27"/>
      <c r="I363" s="26"/>
      <c r="J363" s="25"/>
      <c r="K363" s="24"/>
    </row>
    <row r="364" spans="1:11" x14ac:dyDescent="0.3">
      <c r="A364" s="101" t="s">
        <v>836</v>
      </c>
      <c r="B364" s="28" t="s">
        <v>142</v>
      </c>
      <c r="C364" s="1" t="s">
        <v>135</v>
      </c>
      <c r="D364" s="198"/>
      <c r="E364" s="198"/>
      <c r="F364" s="10">
        <v>0</v>
      </c>
      <c r="G364" s="26">
        <v>2400</v>
      </c>
      <c r="H364" s="27">
        <v>0</v>
      </c>
      <c r="I364" s="26">
        <f t="shared" ref="I364:I372" si="68">(G364*(100%-H364))*F364</f>
        <v>0</v>
      </c>
      <c r="J364" s="25">
        <f t="shared" ref="J364:J372" si="69">$K$5</f>
        <v>1</v>
      </c>
      <c r="K364" s="24">
        <f t="shared" ref="K364:K372" si="70">I364/$K$5</f>
        <v>0</v>
      </c>
    </row>
    <row r="365" spans="1:11" x14ac:dyDescent="0.3">
      <c r="A365" s="101" t="s">
        <v>836</v>
      </c>
      <c r="B365" s="28" t="s">
        <v>141</v>
      </c>
      <c r="C365" s="1" t="s">
        <v>135</v>
      </c>
      <c r="D365" s="197"/>
      <c r="E365" s="197"/>
      <c r="F365" s="10">
        <v>0</v>
      </c>
      <c r="G365" s="26">
        <v>500</v>
      </c>
      <c r="H365" s="27">
        <v>0</v>
      </c>
      <c r="I365" s="26">
        <f t="shared" si="68"/>
        <v>0</v>
      </c>
      <c r="J365" s="25">
        <f t="shared" si="69"/>
        <v>1</v>
      </c>
      <c r="K365" s="24">
        <f t="shared" si="70"/>
        <v>0</v>
      </c>
    </row>
    <row r="366" spans="1:11" x14ac:dyDescent="0.3">
      <c r="A366" s="101" t="s">
        <v>836</v>
      </c>
      <c r="B366" s="28" t="s">
        <v>140</v>
      </c>
      <c r="C366" s="1" t="s">
        <v>135</v>
      </c>
      <c r="D366" s="197"/>
      <c r="E366" s="197"/>
      <c r="F366" s="10">
        <v>0</v>
      </c>
      <c r="G366" s="26">
        <v>60</v>
      </c>
      <c r="H366" s="27">
        <v>0</v>
      </c>
      <c r="I366" s="26">
        <f t="shared" si="68"/>
        <v>0</v>
      </c>
      <c r="J366" s="25">
        <f t="shared" si="69"/>
        <v>1</v>
      </c>
      <c r="K366" s="24">
        <f t="shared" si="70"/>
        <v>0</v>
      </c>
    </row>
    <row r="367" spans="1:11" x14ac:dyDescent="0.3">
      <c r="A367" s="101" t="s">
        <v>836</v>
      </c>
      <c r="B367" s="28" t="s">
        <v>139</v>
      </c>
      <c r="C367" s="1" t="s">
        <v>135</v>
      </c>
      <c r="D367" s="198"/>
      <c r="E367" s="198"/>
      <c r="F367" s="10">
        <v>0</v>
      </c>
      <c r="G367" s="26">
        <v>155</v>
      </c>
      <c r="H367" s="27">
        <v>0</v>
      </c>
      <c r="I367" s="26">
        <f t="shared" si="68"/>
        <v>0</v>
      </c>
      <c r="J367" s="25">
        <f t="shared" si="69"/>
        <v>1</v>
      </c>
      <c r="K367" s="24">
        <f t="shared" si="70"/>
        <v>0</v>
      </c>
    </row>
    <row r="368" spans="1:11" x14ac:dyDescent="0.3">
      <c r="A368" s="101" t="s">
        <v>836</v>
      </c>
      <c r="B368" s="28" t="s">
        <v>138</v>
      </c>
      <c r="C368" s="1" t="s">
        <v>135</v>
      </c>
      <c r="D368" s="197"/>
      <c r="E368" s="197"/>
      <c r="F368" s="10">
        <v>0</v>
      </c>
      <c r="G368" s="26">
        <v>2500</v>
      </c>
      <c r="H368" s="27">
        <v>0</v>
      </c>
      <c r="I368" s="26">
        <f t="shared" si="68"/>
        <v>0</v>
      </c>
      <c r="J368" s="25">
        <f t="shared" si="69"/>
        <v>1</v>
      </c>
      <c r="K368" s="24">
        <f t="shared" si="70"/>
        <v>0</v>
      </c>
    </row>
    <row r="369" spans="1:11" x14ac:dyDescent="0.3">
      <c r="A369" s="101" t="s">
        <v>836</v>
      </c>
      <c r="B369" s="28" t="s">
        <v>137</v>
      </c>
      <c r="C369" s="1" t="s">
        <v>135</v>
      </c>
      <c r="D369" s="197"/>
      <c r="E369" s="197"/>
      <c r="F369" s="10">
        <v>0</v>
      </c>
      <c r="G369" s="26">
        <v>3000</v>
      </c>
      <c r="H369" s="27">
        <v>0</v>
      </c>
      <c r="I369" s="26">
        <f t="shared" si="68"/>
        <v>0</v>
      </c>
      <c r="J369" s="25">
        <f t="shared" si="69"/>
        <v>1</v>
      </c>
      <c r="K369" s="24">
        <f t="shared" si="70"/>
        <v>0</v>
      </c>
    </row>
    <row r="370" spans="1:11" x14ac:dyDescent="0.3">
      <c r="A370" s="101" t="s">
        <v>836</v>
      </c>
      <c r="B370" s="28" t="s">
        <v>136</v>
      </c>
      <c r="C370" s="1" t="s">
        <v>135</v>
      </c>
      <c r="D370" s="197"/>
      <c r="E370" s="197"/>
      <c r="F370" s="10">
        <v>0</v>
      </c>
      <c r="G370" s="26">
        <v>850</v>
      </c>
      <c r="H370" s="27">
        <v>0</v>
      </c>
      <c r="I370" s="26">
        <f t="shared" si="68"/>
        <v>0</v>
      </c>
      <c r="J370" s="25">
        <f t="shared" si="69"/>
        <v>1</v>
      </c>
      <c r="K370" s="24">
        <f t="shared" si="70"/>
        <v>0</v>
      </c>
    </row>
    <row r="371" spans="1:11" x14ac:dyDescent="0.3">
      <c r="A371" s="101" t="s">
        <v>836</v>
      </c>
      <c r="B371" s="28" t="s">
        <v>134</v>
      </c>
      <c r="C371" s="1" t="s">
        <v>133</v>
      </c>
      <c r="D371" s="197"/>
      <c r="E371" s="197"/>
      <c r="F371" s="10">
        <v>0</v>
      </c>
      <c r="G371" s="26">
        <v>6500</v>
      </c>
      <c r="H371" s="27">
        <v>0</v>
      </c>
      <c r="I371" s="26">
        <f t="shared" si="68"/>
        <v>0</v>
      </c>
      <c r="J371" s="25">
        <f t="shared" si="69"/>
        <v>1</v>
      </c>
      <c r="K371" s="24">
        <f t="shared" si="70"/>
        <v>0</v>
      </c>
    </row>
    <row r="372" spans="1:11" x14ac:dyDescent="0.3">
      <c r="A372" s="101" t="s">
        <v>836</v>
      </c>
      <c r="B372" s="28" t="s">
        <v>132</v>
      </c>
      <c r="C372" s="1" t="s">
        <v>131</v>
      </c>
      <c r="D372" s="197"/>
      <c r="E372" s="197"/>
      <c r="F372" s="10">
        <v>0</v>
      </c>
      <c r="G372" s="26">
        <v>500</v>
      </c>
      <c r="H372" s="27">
        <v>0</v>
      </c>
      <c r="I372" s="26">
        <f t="shared" si="68"/>
        <v>0</v>
      </c>
      <c r="J372" s="25">
        <f t="shared" si="69"/>
        <v>1</v>
      </c>
      <c r="K372" s="24">
        <f t="shared" si="70"/>
        <v>0</v>
      </c>
    </row>
    <row r="373" spans="1:11" x14ac:dyDescent="0.3">
      <c r="A373" s="101" t="s">
        <v>836</v>
      </c>
      <c r="B373" s="28"/>
      <c r="C373" s="1"/>
      <c r="D373" s="198"/>
      <c r="E373" s="198"/>
      <c r="F373" s="10"/>
      <c r="G373" s="26"/>
      <c r="H373" s="27"/>
      <c r="I373" s="26"/>
      <c r="J373" s="25"/>
      <c r="K373" s="24"/>
    </row>
    <row r="374" spans="1:11" x14ac:dyDescent="0.3">
      <c r="A374" s="101" t="s">
        <v>836</v>
      </c>
      <c r="B374" s="28" t="s">
        <v>130</v>
      </c>
      <c r="C374" s="1" t="s">
        <v>39</v>
      </c>
      <c r="D374" s="199" t="s">
        <v>619</v>
      </c>
      <c r="E374" s="199" t="s">
        <v>620</v>
      </c>
      <c r="F374" s="10">
        <v>0</v>
      </c>
      <c r="G374" s="26">
        <v>114</v>
      </c>
      <c r="H374" s="27">
        <v>0</v>
      </c>
      <c r="I374" s="26">
        <f t="shared" ref="I374:I380" si="71">(G374*(100%-H374))*F374</f>
        <v>0</v>
      </c>
      <c r="J374" s="25">
        <f t="shared" ref="J374:J380" si="72">$K$5</f>
        <v>1</v>
      </c>
      <c r="K374" s="24">
        <f t="shared" ref="K374:K380" si="73">I374/$K$5</f>
        <v>0</v>
      </c>
    </row>
    <row r="375" spans="1:11" x14ac:dyDescent="0.3">
      <c r="A375" s="101" t="s">
        <v>836</v>
      </c>
      <c r="B375" s="28" t="s">
        <v>129</v>
      </c>
      <c r="C375" s="1"/>
      <c r="D375" s="198"/>
      <c r="E375" s="198"/>
      <c r="F375" s="10">
        <v>0</v>
      </c>
      <c r="G375" s="26">
        <v>550</v>
      </c>
      <c r="H375" s="27">
        <v>0</v>
      </c>
      <c r="I375" s="26">
        <f t="shared" si="71"/>
        <v>0</v>
      </c>
      <c r="J375" s="25">
        <f t="shared" si="72"/>
        <v>1</v>
      </c>
      <c r="K375" s="24">
        <f t="shared" si="73"/>
        <v>0</v>
      </c>
    </row>
    <row r="376" spans="1:11" x14ac:dyDescent="0.3">
      <c r="A376" s="101" t="s">
        <v>836</v>
      </c>
      <c r="B376" s="28" t="s">
        <v>621</v>
      </c>
      <c r="C376" s="1"/>
      <c r="D376" s="199" t="s">
        <v>624</v>
      </c>
      <c r="E376" s="199" t="s">
        <v>626</v>
      </c>
      <c r="F376" s="10">
        <v>0</v>
      </c>
      <c r="G376" s="26">
        <v>18</v>
      </c>
      <c r="H376" s="27">
        <v>0</v>
      </c>
      <c r="I376" s="26">
        <f t="shared" si="71"/>
        <v>0</v>
      </c>
      <c r="J376" s="25">
        <f t="shared" si="72"/>
        <v>1</v>
      </c>
      <c r="K376" s="24">
        <f t="shared" si="73"/>
        <v>0</v>
      </c>
    </row>
    <row r="377" spans="1:11" x14ac:dyDescent="0.3">
      <c r="A377" s="101" t="s">
        <v>836</v>
      </c>
      <c r="B377" s="28" t="s">
        <v>625</v>
      </c>
      <c r="C377" s="1"/>
      <c r="D377" s="199" t="s">
        <v>624</v>
      </c>
      <c r="E377" s="199"/>
      <c r="F377" s="10">
        <v>0</v>
      </c>
      <c r="G377" s="26">
        <v>10</v>
      </c>
      <c r="H377" s="27">
        <v>0</v>
      </c>
      <c r="I377" s="26">
        <f t="shared" si="71"/>
        <v>0</v>
      </c>
      <c r="J377" s="25">
        <f t="shared" si="72"/>
        <v>1</v>
      </c>
      <c r="K377" s="24">
        <f t="shared" si="73"/>
        <v>0</v>
      </c>
    </row>
    <row r="378" spans="1:11" x14ac:dyDescent="0.3">
      <c r="A378" s="101" t="s">
        <v>836</v>
      </c>
      <c r="B378" s="28" t="s">
        <v>622</v>
      </c>
      <c r="C378" s="1"/>
      <c r="D378" s="199" t="s">
        <v>624</v>
      </c>
      <c r="E378" s="199" t="s">
        <v>626</v>
      </c>
      <c r="F378" s="10">
        <v>0</v>
      </c>
      <c r="G378" s="26">
        <v>80</v>
      </c>
      <c r="H378" s="27">
        <v>0</v>
      </c>
      <c r="I378" s="26">
        <f t="shared" si="71"/>
        <v>0</v>
      </c>
      <c r="J378" s="25">
        <f t="shared" si="72"/>
        <v>1</v>
      </c>
      <c r="K378" s="24">
        <f t="shared" si="73"/>
        <v>0</v>
      </c>
    </row>
    <row r="379" spans="1:11" x14ac:dyDescent="0.3">
      <c r="A379" s="101" t="s">
        <v>836</v>
      </c>
      <c r="B379" s="28" t="s">
        <v>623</v>
      </c>
      <c r="C379" s="1"/>
      <c r="D379" s="199" t="s">
        <v>624</v>
      </c>
      <c r="E379" s="198"/>
      <c r="F379" s="10">
        <v>0</v>
      </c>
      <c r="G379" s="26">
        <v>33</v>
      </c>
      <c r="H379" s="27">
        <v>0</v>
      </c>
      <c r="I379" s="26">
        <f t="shared" si="71"/>
        <v>0</v>
      </c>
      <c r="J379" s="25">
        <f t="shared" si="72"/>
        <v>1</v>
      </c>
      <c r="K379" s="24">
        <f t="shared" si="73"/>
        <v>0</v>
      </c>
    </row>
    <row r="380" spans="1:11" x14ac:dyDescent="0.3">
      <c r="A380" s="101" t="s">
        <v>836</v>
      </c>
      <c r="B380" s="28" t="s">
        <v>128</v>
      </c>
      <c r="C380" s="1"/>
      <c r="D380" s="198"/>
      <c r="E380" s="198"/>
      <c r="F380" s="10">
        <v>0</v>
      </c>
      <c r="G380" s="26">
        <v>100</v>
      </c>
      <c r="H380" s="27">
        <v>0</v>
      </c>
      <c r="I380" s="26">
        <f t="shared" si="71"/>
        <v>0</v>
      </c>
      <c r="J380" s="25">
        <f t="shared" si="72"/>
        <v>1</v>
      </c>
      <c r="K380" s="24">
        <f t="shared" si="73"/>
        <v>0</v>
      </c>
    </row>
    <row r="381" spans="1:11" x14ac:dyDescent="0.3">
      <c r="A381" s="101" t="s">
        <v>836</v>
      </c>
      <c r="B381" s="28"/>
      <c r="C381" s="1"/>
      <c r="D381" s="198"/>
      <c r="E381" s="198"/>
      <c r="F381" s="10"/>
      <c r="G381" s="26"/>
      <c r="H381" s="27"/>
      <c r="I381" s="26"/>
      <c r="J381" s="25"/>
      <c r="K381" s="24"/>
    </row>
    <row r="382" spans="1:11" x14ac:dyDescent="0.3">
      <c r="A382" s="101" t="s">
        <v>836</v>
      </c>
      <c r="B382" s="63" t="s">
        <v>673</v>
      </c>
      <c r="C382" s="52"/>
      <c r="D382" s="198"/>
      <c r="E382" s="198"/>
      <c r="F382" s="52">
        <v>0</v>
      </c>
      <c r="G382" s="50">
        <v>15000</v>
      </c>
      <c r="H382" s="51">
        <v>0</v>
      </c>
      <c r="I382" s="50">
        <f>(G382*(100%-H382))*F382</f>
        <v>0</v>
      </c>
      <c r="J382" s="49">
        <f>$K$5</f>
        <v>1</v>
      </c>
      <c r="K382" s="48">
        <f>I382/$K$5</f>
        <v>0</v>
      </c>
    </row>
    <row r="383" spans="1:11" x14ac:dyDescent="0.3">
      <c r="A383" s="101" t="s">
        <v>836</v>
      </c>
      <c r="B383" s="28"/>
      <c r="C383" s="1"/>
      <c r="D383" s="64"/>
      <c r="E383" s="64"/>
      <c r="F383" s="52"/>
      <c r="G383" s="50"/>
      <c r="H383" s="51"/>
      <c r="I383" s="50"/>
      <c r="J383" s="49"/>
      <c r="K383" s="48"/>
    </row>
    <row r="384" spans="1:11" ht="18.600000000000001" thickBot="1" x14ac:dyDescent="0.35">
      <c r="A384" s="101" t="s">
        <v>836</v>
      </c>
      <c r="B384" s="28"/>
      <c r="C384" s="54"/>
      <c r="D384" s="54"/>
      <c r="E384" s="54"/>
      <c r="F384" s="10"/>
      <c r="G384" s="62"/>
      <c r="H384" s="12" t="s">
        <v>9</v>
      </c>
      <c r="I384" s="13">
        <f>SUM(I278:I383)</f>
        <v>536281.30000000005</v>
      </c>
      <c r="J384" s="10"/>
      <c r="K384" s="16">
        <f>SUM(K279:K382)</f>
        <v>536281.30000000005</v>
      </c>
    </row>
    <row r="385" spans="1:11" x14ac:dyDescent="0.3">
      <c r="A385" s="101" t="s">
        <v>836</v>
      </c>
      <c r="B385" s="304" t="s">
        <v>4</v>
      </c>
      <c r="C385" s="304"/>
      <c r="D385" s="304"/>
      <c r="E385" s="304"/>
      <c r="F385" s="304"/>
      <c r="G385" s="304"/>
      <c r="H385" s="304"/>
      <c r="I385" s="304"/>
      <c r="J385" s="304"/>
      <c r="K385" s="305"/>
    </row>
    <row r="386" spans="1:11" ht="15" thickBot="1" x14ac:dyDescent="0.35">
      <c r="A386" s="101" t="s">
        <v>836</v>
      </c>
      <c r="B386" s="307"/>
      <c r="C386" s="307"/>
      <c r="D386" s="307"/>
      <c r="E386" s="307"/>
      <c r="F386" s="307"/>
      <c r="G386" s="307"/>
      <c r="H386" s="307"/>
      <c r="I386" s="307"/>
      <c r="J386" s="307"/>
      <c r="K386" s="308"/>
    </row>
    <row r="387" spans="1:11" ht="15" customHeight="1" thickBot="1" x14ac:dyDescent="0.35">
      <c r="A387" s="101" t="s">
        <v>836</v>
      </c>
      <c r="B387" s="309" t="s">
        <v>716</v>
      </c>
      <c r="C387" s="310"/>
      <c r="D387" s="310"/>
      <c r="E387" s="310"/>
      <c r="F387" s="310"/>
      <c r="G387" s="310"/>
      <c r="H387" s="310"/>
      <c r="I387" s="310"/>
      <c r="J387" s="310"/>
      <c r="K387" s="311"/>
    </row>
    <row r="388" spans="1:11" x14ac:dyDescent="0.3">
      <c r="A388" s="101" t="s">
        <v>836</v>
      </c>
      <c r="B388" s="28" t="s">
        <v>126</v>
      </c>
      <c r="C388" s="1" t="s">
        <v>125</v>
      </c>
      <c r="D388" s="58"/>
      <c r="E388" s="58"/>
      <c r="F388" s="10">
        <v>0</v>
      </c>
      <c r="G388" s="26">
        <v>25000</v>
      </c>
      <c r="H388" s="27">
        <v>0</v>
      </c>
      <c r="I388" s="26">
        <f>(G388*(100%-H388))*F388</f>
        <v>0</v>
      </c>
      <c r="J388" s="25">
        <f t="shared" ref="J388:J457" si="74">$K$5</f>
        <v>1</v>
      </c>
      <c r="K388" s="24">
        <f t="shared" ref="K388:K455" si="75">I388/$K$5</f>
        <v>0</v>
      </c>
    </row>
    <row r="389" spans="1:11" x14ac:dyDescent="0.3">
      <c r="A389" s="101" t="s">
        <v>836</v>
      </c>
      <c r="B389" s="28" t="s">
        <v>124</v>
      </c>
      <c r="C389" s="1" t="s">
        <v>123</v>
      </c>
      <c r="D389" s="58"/>
      <c r="E389" s="58"/>
      <c r="F389" s="10">
        <v>0</v>
      </c>
      <c r="G389" s="26">
        <v>17000</v>
      </c>
      <c r="H389" s="27">
        <v>0</v>
      </c>
      <c r="I389" s="26">
        <f>(G389*(100%-H389))*F389</f>
        <v>0</v>
      </c>
      <c r="J389" s="25">
        <f t="shared" si="74"/>
        <v>1</v>
      </c>
      <c r="K389" s="24">
        <f t="shared" si="75"/>
        <v>0</v>
      </c>
    </row>
    <row r="390" spans="1:11" ht="15" thickBot="1" x14ac:dyDescent="0.35">
      <c r="A390" s="101" t="s">
        <v>836</v>
      </c>
      <c r="B390" s="28"/>
      <c r="C390" s="1"/>
      <c r="D390" s="58"/>
      <c r="E390" s="58"/>
      <c r="F390" s="10"/>
      <c r="G390" s="26"/>
      <c r="H390" s="27"/>
      <c r="I390" s="26"/>
      <c r="J390" s="25"/>
      <c r="K390" s="24"/>
    </row>
    <row r="391" spans="1:11" ht="15" customHeight="1" thickBot="1" x14ac:dyDescent="0.35">
      <c r="A391" s="101" t="s">
        <v>836</v>
      </c>
      <c r="B391" s="309" t="s">
        <v>717</v>
      </c>
      <c r="C391" s="310"/>
      <c r="D391" s="310"/>
      <c r="E391" s="310"/>
      <c r="F391" s="310"/>
      <c r="G391" s="310"/>
      <c r="H391" s="310"/>
      <c r="I391" s="310"/>
      <c r="J391" s="310"/>
      <c r="K391" s="311"/>
    </row>
    <row r="392" spans="1:11" x14ac:dyDescent="0.3">
      <c r="A392" s="101" t="s">
        <v>836</v>
      </c>
      <c r="B392" s="28" t="s">
        <v>580</v>
      </c>
      <c r="C392" s="1" t="s">
        <v>579</v>
      </c>
      <c r="D392" s="58"/>
      <c r="E392" s="58"/>
      <c r="F392" s="10">
        <v>0</v>
      </c>
      <c r="G392" s="75">
        <v>18000</v>
      </c>
      <c r="H392" s="27">
        <v>0</v>
      </c>
      <c r="I392" s="26">
        <f>(G392*(100%-H392))*F392</f>
        <v>0</v>
      </c>
      <c r="J392" s="25">
        <f t="shared" si="74"/>
        <v>1</v>
      </c>
      <c r="K392" s="24">
        <f t="shared" si="75"/>
        <v>0</v>
      </c>
    </row>
    <row r="393" spans="1:11" x14ac:dyDescent="0.3">
      <c r="A393" s="101" t="s">
        <v>836</v>
      </c>
      <c r="B393" s="28" t="s">
        <v>581</v>
      </c>
      <c r="C393" s="1" t="s">
        <v>579</v>
      </c>
      <c r="D393" s="58"/>
      <c r="E393" s="58"/>
      <c r="F393" s="10">
        <v>0</v>
      </c>
      <c r="G393" s="26">
        <v>6500</v>
      </c>
      <c r="H393" s="27">
        <v>0</v>
      </c>
      <c r="I393" s="26">
        <f>(G393*(100%-H393))*F393</f>
        <v>0</v>
      </c>
      <c r="J393" s="25">
        <f t="shared" si="74"/>
        <v>1</v>
      </c>
      <c r="K393" s="24">
        <f t="shared" si="75"/>
        <v>0</v>
      </c>
    </row>
    <row r="394" spans="1:11" x14ac:dyDescent="0.3">
      <c r="A394" s="101" t="s">
        <v>836</v>
      </c>
      <c r="B394" s="28" t="s">
        <v>701</v>
      </c>
      <c r="C394" s="1" t="s">
        <v>579</v>
      </c>
      <c r="D394" s="58"/>
      <c r="E394" s="58"/>
      <c r="F394" s="10">
        <v>0</v>
      </c>
      <c r="G394" s="26">
        <v>6500</v>
      </c>
      <c r="H394" s="27">
        <v>0</v>
      </c>
      <c r="I394" s="26">
        <f>(G394*(100%-H394))*F394</f>
        <v>0</v>
      </c>
      <c r="J394" s="25">
        <f t="shared" si="74"/>
        <v>1</v>
      </c>
      <c r="K394" s="24">
        <f t="shared" si="75"/>
        <v>0</v>
      </c>
    </row>
    <row r="395" spans="1:11" ht="15" thickBot="1" x14ac:dyDescent="0.35">
      <c r="A395" s="101" t="s">
        <v>836</v>
      </c>
      <c r="B395" s="28" t="s">
        <v>582</v>
      </c>
      <c r="C395" s="1" t="s">
        <v>579</v>
      </c>
      <c r="D395" s="58"/>
      <c r="E395" s="58"/>
      <c r="F395" s="10">
        <v>0</v>
      </c>
      <c r="G395" s="75">
        <v>49800</v>
      </c>
      <c r="H395" s="27">
        <v>0</v>
      </c>
      <c r="I395" s="26">
        <f>(G395*(100%-H395))*F395</f>
        <v>0</v>
      </c>
      <c r="J395" s="25">
        <f t="shared" si="74"/>
        <v>1</v>
      </c>
      <c r="K395" s="24">
        <f t="shared" si="75"/>
        <v>0</v>
      </c>
    </row>
    <row r="396" spans="1:11" ht="15" customHeight="1" thickBot="1" x14ac:dyDescent="0.35">
      <c r="A396" s="101" t="s">
        <v>836</v>
      </c>
      <c r="B396" s="309" t="s">
        <v>718</v>
      </c>
      <c r="C396" s="310"/>
      <c r="D396" s="310"/>
      <c r="E396" s="310"/>
      <c r="F396" s="310"/>
      <c r="G396" s="310"/>
      <c r="H396" s="310"/>
      <c r="I396" s="310"/>
      <c r="J396" s="310"/>
      <c r="K396" s="311"/>
    </row>
    <row r="397" spans="1:11" ht="15" thickBot="1" x14ac:dyDescent="0.35">
      <c r="A397" s="101" t="s">
        <v>836</v>
      </c>
      <c r="B397" s="28" t="s">
        <v>122</v>
      </c>
      <c r="C397" s="1"/>
      <c r="D397" s="198"/>
      <c r="E397" s="198" t="s">
        <v>121</v>
      </c>
      <c r="F397" s="10">
        <v>0</v>
      </c>
      <c r="G397" s="26">
        <v>35000</v>
      </c>
      <c r="H397" s="27">
        <v>0</v>
      </c>
      <c r="I397" s="26">
        <f>(G397*(100%-H397))*F397</f>
        <v>0</v>
      </c>
      <c r="J397" s="25">
        <f t="shared" si="74"/>
        <v>1</v>
      </c>
      <c r="K397" s="24">
        <f t="shared" si="75"/>
        <v>0</v>
      </c>
    </row>
    <row r="398" spans="1:11" ht="15" customHeight="1" thickBot="1" x14ac:dyDescent="0.35">
      <c r="A398" s="101" t="s">
        <v>836</v>
      </c>
      <c r="B398" s="309" t="s">
        <v>719</v>
      </c>
      <c r="C398" s="310"/>
      <c r="D398" s="310"/>
      <c r="E398" s="310"/>
      <c r="F398" s="310"/>
      <c r="G398" s="310"/>
      <c r="H398" s="310"/>
      <c r="I398" s="310"/>
      <c r="J398" s="310"/>
      <c r="K398" s="311"/>
    </row>
    <row r="399" spans="1:11" x14ac:dyDescent="0.3">
      <c r="A399" s="101" t="s">
        <v>836</v>
      </c>
      <c r="B399" s="28" t="s">
        <v>120</v>
      </c>
      <c r="C399" s="1"/>
      <c r="E399" s="190"/>
      <c r="F399" s="10">
        <v>0</v>
      </c>
      <c r="G399" s="75">
        <v>0</v>
      </c>
      <c r="H399" s="27">
        <v>0</v>
      </c>
      <c r="I399" s="26">
        <f>(G399*(100%-H399))*F399</f>
        <v>0</v>
      </c>
      <c r="J399" s="25">
        <f t="shared" si="74"/>
        <v>1</v>
      </c>
      <c r="K399" s="24">
        <f t="shared" si="75"/>
        <v>0</v>
      </c>
    </row>
    <row r="400" spans="1:11" x14ac:dyDescent="0.3">
      <c r="A400" s="101" t="s">
        <v>836</v>
      </c>
      <c r="B400" s="28" t="s">
        <v>781</v>
      </c>
      <c r="C400" s="1" t="s">
        <v>116</v>
      </c>
      <c r="D400" s="197" t="s">
        <v>782</v>
      </c>
      <c r="E400" s="197" t="s">
        <v>783</v>
      </c>
      <c r="F400" s="10">
        <v>0</v>
      </c>
      <c r="G400" s="26">
        <v>19700</v>
      </c>
      <c r="H400" s="27">
        <v>0</v>
      </c>
      <c r="I400" s="26">
        <f>(G400*(100%-H400))*F400</f>
        <v>0</v>
      </c>
      <c r="J400" s="25">
        <f t="shared" si="74"/>
        <v>1</v>
      </c>
      <c r="K400" s="24">
        <f t="shared" si="75"/>
        <v>0</v>
      </c>
    </row>
    <row r="401" spans="1:11" x14ac:dyDescent="0.3">
      <c r="A401" s="101" t="s">
        <v>836</v>
      </c>
      <c r="B401" s="28" t="s">
        <v>781</v>
      </c>
      <c r="C401" s="1" t="s">
        <v>116</v>
      </c>
      <c r="D401" s="197" t="s">
        <v>784</v>
      </c>
      <c r="E401" s="197" t="s">
        <v>785</v>
      </c>
      <c r="F401" s="10">
        <v>0</v>
      </c>
      <c r="G401" s="26">
        <v>60100</v>
      </c>
      <c r="H401" s="27">
        <v>0</v>
      </c>
      <c r="I401" s="26">
        <f>(G401*(100%-H401))*F401</f>
        <v>0</v>
      </c>
      <c r="J401" s="25">
        <f t="shared" si="74"/>
        <v>1</v>
      </c>
      <c r="K401" s="24">
        <f t="shared" si="75"/>
        <v>0</v>
      </c>
    </row>
    <row r="402" spans="1:11" ht="15" thickBot="1" x14ac:dyDescent="0.35">
      <c r="A402" s="101" t="s">
        <v>836</v>
      </c>
      <c r="B402" s="28" t="s">
        <v>781</v>
      </c>
      <c r="C402" s="1" t="s">
        <v>116</v>
      </c>
      <c r="D402" s="197" t="s">
        <v>786</v>
      </c>
      <c r="E402" s="197" t="s">
        <v>787</v>
      </c>
      <c r="F402" s="10">
        <v>0</v>
      </c>
      <c r="G402" s="26">
        <v>89000</v>
      </c>
      <c r="H402" s="27">
        <v>0</v>
      </c>
      <c r="I402" s="26">
        <f>(G402*(100%-H402))*F402</f>
        <v>0</v>
      </c>
      <c r="J402" s="25">
        <f t="shared" si="74"/>
        <v>1</v>
      </c>
      <c r="K402" s="24">
        <f t="shared" si="75"/>
        <v>0</v>
      </c>
    </row>
    <row r="403" spans="1:11" ht="15" customHeight="1" thickBot="1" x14ac:dyDescent="0.35">
      <c r="A403" s="101" t="s">
        <v>836</v>
      </c>
      <c r="B403" s="309" t="s">
        <v>720</v>
      </c>
      <c r="C403" s="310"/>
      <c r="D403" s="310"/>
      <c r="E403" s="310"/>
      <c r="F403" s="310"/>
      <c r="G403" s="310"/>
      <c r="H403" s="310"/>
      <c r="I403" s="310"/>
      <c r="J403" s="310"/>
      <c r="K403" s="311"/>
    </row>
    <row r="404" spans="1:11" ht="15" thickBot="1" x14ac:dyDescent="0.35">
      <c r="A404" s="101" t="s">
        <v>836</v>
      </c>
      <c r="B404" s="28" t="s">
        <v>119</v>
      </c>
      <c r="C404" s="1" t="s">
        <v>116</v>
      </c>
      <c r="D404" s="197" t="s">
        <v>714</v>
      </c>
      <c r="E404" s="197" t="s">
        <v>715</v>
      </c>
      <c r="F404" s="10">
        <v>0</v>
      </c>
      <c r="G404" s="26">
        <v>3414</v>
      </c>
      <c r="H404" s="27">
        <v>0</v>
      </c>
      <c r="I404" s="26">
        <f>(G404*(100%-H404))*F404</f>
        <v>0</v>
      </c>
      <c r="J404" s="25">
        <f t="shared" si="74"/>
        <v>1</v>
      </c>
      <c r="K404" s="24">
        <f t="shared" si="75"/>
        <v>0</v>
      </c>
    </row>
    <row r="405" spans="1:11" ht="15" customHeight="1" thickBot="1" x14ac:dyDescent="0.35">
      <c r="A405" s="101" t="s">
        <v>836</v>
      </c>
      <c r="B405" s="309" t="s">
        <v>721</v>
      </c>
      <c r="C405" s="310"/>
      <c r="D405" s="310"/>
      <c r="E405" s="310"/>
      <c r="F405" s="310"/>
      <c r="G405" s="310"/>
      <c r="H405" s="310"/>
      <c r="I405" s="310"/>
      <c r="J405" s="310"/>
      <c r="K405" s="311"/>
    </row>
    <row r="406" spans="1:11" x14ac:dyDescent="0.3">
      <c r="A406" s="101" t="s">
        <v>836</v>
      </c>
      <c r="B406" s="28" t="s">
        <v>118</v>
      </c>
      <c r="C406" s="219" t="s">
        <v>992</v>
      </c>
      <c r="D406" s="218" t="s">
        <v>990</v>
      </c>
      <c r="E406" s="188"/>
      <c r="F406" s="10">
        <v>0</v>
      </c>
      <c r="G406" s="75">
        <v>18141</v>
      </c>
      <c r="H406" s="27">
        <v>0</v>
      </c>
      <c r="I406" s="26">
        <f>(G406*(100%-H406))*F406</f>
        <v>0</v>
      </c>
      <c r="J406" s="25">
        <f t="shared" si="74"/>
        <v>1</v>
      </c>
      <c r="K406" s="24">
        <f t="shared" si="75"/>
        <v>0</v>
      </c>
    </row>
    <row r="407" spans="1:11" ht="15" thickBot="1" x14ac:dyDescent="0.35">
      <c r="A407" s="101" t="s">
        <v>836</v>
      </c>
      <c r="B407" s="28" t="s">
        <v>118</v>
      </c>
      <c r="C407" s="1" t="s">
        <v>71</v>
      </c>
      <c r="D407" s="218" t="s">
        <v>991</v>
      </c>
      <c r="E407" s="53" t="s">
        <v>989</v>
      </c>
      <c r="F407" s="10">
        <v>0</v>
      </c>
      <c r="G407" s="75">
        <v>3773.9</v>
      </c>
      <c r="H407" s="27">
        <v>0</v>
      </c>
      <c r="I407" s="26">
        <f>(G407*(100%-H407))*F407</f>
        <v>0</v>
      </c>
      <c r="J407" s="25">
        <f t="shared" si="74"/>
        <v>1</v>
      </c>
      <c r="K407" s="24">
        <f t="shared" si="75"/>
        <v>0</v>
      </c>
    </row>
    <row r="408" spans="1:11" ht="15" customHeight="1" thickBot="1" x14ac:dyDescent="0.35">
      <c r="A408" s="101" t="s">
        <v>836</v>
      </c>
      <c r="B408" s="309" t="s">
        <v>722</v>
      </c>
      <c r="C408" s="310"/>
      <c r="D408" s="310"/>
      <c r="E408" s="310"/>
      <c r="F408" s="310"/>
      <c r="G408" s="310"/>
      <c r="H408" s="310"/>
      <c r="I408" s="310"/>
      <c r="J408" s="310"/>
      <c r="K408" s="311"/>
    </row>
    <row r="409" spans="1:11" x14ac:dyDescent="0.3">
      <c r="A409" s="101" t="s">
        <v>836</v>
      </c>
      <c r="B409" s="28" t="s">
        <v>117</v>
      </c>
      <c r="C409" s="1" t="s">
        <v>116</v>
      </c>
      <c r="D409" s="200" t="s">
        <v>777</v>
      </c>
      <c r="E409" s="200" t="s">
        <v>778</v>
      </c>
      <c r="F409" s="10">
        <v>0</v>
      </c>
      <c r="G409" s="26">
        <v>6441</v>
      </c>
      <c r="H409" s="27">
        <v>0</v>
      </c>
      <c r="I409" s="26">
        <f>(G409*(100%-H409))*F409</f>
        <v>0</v>
      </c>
      <c r="J409" s="25">
        <f t="shared" si="74"/>
        <v>1</v>
      </c>
      <c r="K409" s="24">
        <f t="shared" si="75"/>
        <v>0</v>
      </c>
    </row>
    <row r="410" spans="1:11" ht="15" thickBot="1" x14ac:dyDescent="0.35">
      <c r="A410" s="101" t="s">
        <v>836</v>
      </c>
      <c r="B410" s="28" t="s">
        <v>117</v>
      </c>
      <c r="C410" s="1" t="s">
        <v>116</v>
      </c>
      <c r="D410" s="200" t="s">
        <v>779</v>
      </c>
      <c r="E410" s="200" t="s">
        <v>780</v>
      </c>
      <c r="F410" s="10">
        <v>0</v>
      </c>
      <c r="G410" s="26">
        <v>6666</v>
      </c>
      <c r="H410" s="27">
        <v>0</v>
      </c>
      <c r="I410" s="26">
        <f>(G410*(100%-H410))*F410</f>
        <v>0</v>
      </c>
      <c r="J410" s="25">
        <f t="shared" si="74"/>
        <v>1</v>
      </c>
      <c r="K410" s="24">
        <f t="shared" si="75"/>
        <v>0</v>
      </c>
    </row>
    <row r="411" spans="1:11" ht="15" customHeight="1" thickBot="1" x14ac:dyDescent="0.35">
      <c r="A411" s="101" t="s">
        <v>836</v>
      </c>
      <c r="B411" s="309" t="s">
        <v>723</v>
      </c>
      <c r="C411" s="310"/>
      <c r="D411" s="310"/>
      <c r="E411" s="310"/>
      <c r="F411" s="310"/>
      <c r="G411" s="310"/>
      <c r="H411" s="310"/>
      <c r="I411" s="310"/>
      <c r="J411" s="310"/>
      <c r="K411" s="311"/>
    </row>
    <row r="412" spans="1:11" ht="15" customHeight="1" x14ac:dyDescent="0.3">
      <c r="A412" s="101" t="s">
        <v>836</v>
      </c>
      <c r="B412" s="28" t="s">
        <v>810</v>
      </c>
      <c r="C412" s="54" t="s">
        <v>739</v>
      </c>
      <c r="E412" s="190" t="s">
        <v>813</v>
      </c>
      <c r="F412" s="56">
        <v>0</v>
      </c>
      <c r="G412" s="61">
        <v>29203.52</v>
      </c>
      <c r="H412" s="55">
        <v>0</v>
      </c>
      <c r="I412" s="61">
        <f>(G412*(100%-H412))*F412</f>
        <v>0</v>
      </c>
      <c r="J412" s="60">
        <f t="shared" ref="J412:J414" si="76">$K$5</f>
        <v>1</v>
      </c>
      <c r="K412" s="59">
        <f t="shared" ref="K412" si="77">I412/$K$5</f>
        <v>0</v>
      </c>
    </row>
    <row r="413" spans="1:11" ht="15" customHeight="1" x14ac:dyDescent="0.3">
      <c r="A413" s="101" t="s">
        <v>836</v>
      </c>
      <c r="B413" s="28" t="s">
        <v>740</v>
      </c>
      <c r="C413" s="54" t="s">
        <v>739</v>
      </c>
      <c r="E413" s="187" t="s">
        <v>743</v>
      </c>
      <c r="F413" s="56">
        <v>0</v>
      </c>
      <c r="G413" s="61">
        <v>39243.699999999997</v>
      </c>
      <c r="H413" s="55">
        <v>0</v>
      </c>
      <c r="I413" s="61">
        <f>(G413*(100%-H413))*F413</f>
        <v>0</v>
      </c>
      <c r="J413" s="60">
        <f t="shared" si="76"/>
        <v>1</v>
      </c>
      <c r="K413" s="59">
        <f t="shared" ref="K413:K414" si="78">I413/$K$5</f>
        <v>0</v>
      </c>
    </row>
    <row r="414" spans="1:11" ht="15" customHeight="1" x14ac:dyDescent="0.3">
      <c r="A414" s="101" t="s">
        <v>836</v>
      </c>
      <c r="B414" s="28" t="s">
        <v>741</v>
      </c>
      <c r="C414" s="54" t="s">
        <v>739</v>
      </c>
      <c r="E414" s="187" t="s">
        <v>742</v>
      </c>
      <c r="F414" s="56">
        <v>0</v>
      </c>
      <c r="G414" s="61">
        <v>50129.61</v>
      </c>
      <c r="H414" s="55">
        <v>0</v>
      </c>
      <c r="I414" s="61">
        <f>(G414*(100%-H414))*F414</f>
        <v>0</v>
      </c>
      <c r="J414" s="60">
        <f t="shared" si="76"/>
        <v>1</v>
      </c>
      <c r="K414" s="59">
        <f t="shared" si="78"/>
        <v>0</v>
      </c>
    </row>
    <row r="415" spans="1:11" ht="15" customHeight="1" x14ac:dyDescent="0.3">
      <c r="A415" s="101" t="s">
        <v>836</v>
      </c>
      <c r="B415" s="28"/>
      <c r="C415" s="28"/>
      <c r="D415" s="63"/>
      <c r="E415" s="190"/>
      <c r="F415" s="28"/>
      <c r="G415" s="28"/>
      <c r="H415" s="28"/>
      <c r="I415" s="28"/>
      <c r="J415" s="28"/>
      <c r="K415" s="28"/>
    </row>
    <row r="416" spans="1:11" x14ac:dyDescent="0.3">
      <c r="A416" s="101" t="s">
        <v>836</v>
      </c>
      <c r="B416" s="28" t="s">
        <v>103</v>
      </c>
      <c r="C416" s="54"/>
      <c r="E416" s="187" t="s">
        <v>102</v>
      </c>
      <c r="F416" s="56">
        <v>0</v>
      </c>
      <c r="G416" s="61">
        <v>16400</v>
      </c>
      <c r="H416" s="55">
        <v>0.17499999999999999</v>
      </c>
      <c r="I416" s="61">
        <f t="shared" ref="I416:I432" si="79">(G416*(100%-H416))*F416</f>
        <v>0</v>
      </c>
      <c r="J416" s="60">
        <f t="shared" ref="J416:J432" si="80">$K$5</f>
        <v>1</v>
      </c>
      <c r="K416" s="59">
        <f t="shared" ref="K416:K432" si="81">I416/$K$5</f>
        <v>0</v>
      </c>
    </row>
    <row r="417" spans="1:11" x14ac:dyDescent="0.3">
      <c r="A417" s="101" t="s">
        <v>836</v>
      </c>
      <c r="B417" s="28" t="s">
        <v>101</v>
      </c>
      <c r="C417" s="1" t="s">
        <v>71</v>
      </c>
      <c r="D417" s="64"/>
      <c r="E417" s="188"/>
      <c r="F417" s="56">
        <v>0</v>
      </c>
      <c r="G417" s="26">
        <v>14200</v>
      </c>
      <c r="H417" s="55">
        <v>0.17499999999999999</v>
      </c>
      <c r="I417" s="26">
        <f t="shared" si="79"/>
        <v>0</v>
      </c>
      <c r="J417" s="25">
        <f t="shared" si="80"/>
        <v>1</v>
      </c>
      <c r="K417" s="24">
        <f t="shared" si="81"/>
        <v>0</v>
      </c>
    </row>
    <row r="418" spans="1:11" x14ac:dyDescent="0.3">
      <c r="A418" s="101" t="s">
        <v>836</v>
      </c>
      <c r="B418" s="28" t="s">
        <v>100</v>
      </c>
      <c r="C418" s="1" t="s">
        <v>71</v>
      </c>
      <c r="E418" s="190" t="s">
        <v>99</v>
      </c>
      <c r="F418" s="56">
        <v>0</v>
      </c>
      <c r="G418" s="75">
        <v>21900</v>
      </c>
      <c r="H418" s="55">
        <v>0</v>
      </c>
      <c r="I418" s="26">
        <f t="shared" si="79"/>
        <v>0</v>
      </c>
      <c r="J418" s="25">
        <f t="shared" si="80"/>
        <v>1</v>
      </c>
      <c r="K418" s="24">
        <f t="shared" si="81"/>
        <v>0</v>
      </c>
    </row>
    <row r="419" spans="1:11" x14ac:dyDescent="0.3">
      <c r="A419" s="101" t="s">
        <v>836</v>
      </c>
      <c r="B419" s="28" t="s">
        <v>98</v>
      </c>
      <c r="C419" s="1" t="s">
        <v>71</v>
      </c>
      <c r="E419" s="190" t="s">
        <v>97</v>
      </c>
      <c r="F419" s="56">
        <v>0</v>
      </c>
      <c r="G419" s="75">
        <v>3060</v>
      </c>
      <c r="H419" s="55">
        <v>0</v>
      </c>
      <c r="I419" s="26">
        <f t="shared" si="79"/>
        <v>0</v>
      </c>
      <c r="J419" s="25">
        <f t="shared" si="80"/>
        <v>1</v>
      </c>
      <c r="K419" s="24">
        <f t="shared" si="81"/>
        <v>0</v>
      </c>
    </row>
    <row r="420" spans="1:11" x14ac:dyDescent="0.3">
      <c r="A420" s="101" t="s">
        <v>836</v>
      </c>
      <c r="B420" s="28" t="s">
        <v>96</v>
      </c>
      <c r="C420" s="1" t="s">
        <v>71</v>
      </c>
      <c r="E420" s="190" t="s">
        <v>95</v>
      </c>
      <c r="F420" s="56">
        <v>0</v>
      </c>
      <c r="G420" s="75">
        <v>3270</v>
      </c>
      <c r="H420" s="55">
        <v>0</v>
      </c>
      <c r="I420" s="26">
        <f t="shared" si="79"/>
        <v>0</v>
      </c>
      <c r="J420" s="25">
        <f t="shared" si="80"/>
        <v>1</v>
      </c>
      <c r="K420" s="24">
        <f t="shared" si="81"/>
        <v>0</v>
      </c>
    </row>
    <row r="421" spans="1:11" x14ac:dyDescent="0.3">
      <c r="A421" s="101" t="s">
        <v>836</v>
      </c>
      <c r="B421" s="28" t="s">
        <v>94</v>
      </c>
      <c r="C421" s="1" t="s">
        <v>71</v>
      </c>
      <c r="E421" s="190" t="s">
        <v>93</v>
      </c>
      <c r="F421" s="56">
        <v>0</v>
      </c>
      <c r="G421" s="75">
        <v>1070</v>
      </c>
      <c r="H421" s="55">
        <v>0</v>
      </c>
      <c r="I421" s="26">
        <f t="shared" si="79"/>
        <v>0</v>
      </c>
      <c r="J421" s="25">
        <f t="shared" si="80"/>
        <v>1</v>
      </c>
      <c r="K421" s="24">
        <f t="shared" si="81"/>
        <v>0</v>
      </c>
    </row>
    <row r="422" spans="1:11" x14ac:dyDescent="0.3">
      <c r="A422" s="101" t="s">
        <v>836</v>
      </c>
      <c r="B422" s="28" t="s">
        <v>92</v>
      </c>
      <c r="C422" s="1" t="s">
        <v>71</v>
      </c>
      <c r="E422" s="190" t="s">
        <v>91</v>
      </c>
      <c r="F422" s="56">
        <v>0</v>
      </c>
      <c r="G422" s="75">
        <v>3220</v>
      </c>
      <c r="H422" s="55">
        <v>0</v>
      </c>
      <c r="I422" s="26">
        <f t="shared" si="79"/>
        <v>0</v>
      </c>
      <c r="J422" s="25">
        <f t="shared" si="80"/>
        <v>1</v>
      </c>
      <c r="K422" s="24">
        <f t="shared" si="81"/>
        <v>0</v>
      </c>
    </row>
    <row r="423" spans="1:11" x14ac:dyDescent="0.3">
      <c r="A423" s="101" t="s">
        <v>836</v>
      </c>
      <c r="B423" s="28" t="s">
        <v>90</v>
      </c>
      <c r="C423" s="1" t="s">
        <v>71</v>
      </c>
      <c r="E423" s="190" t="s">
        <v>89</v>
      </c>
      <c r="F423" s="56">
        <v>0</v>
      </c>
      <c r="G423" s="75">
        <v>1980</v>
      </c>
      <c r="H423" s="55">
        <v>0</v>
      </c>
      <c r="I423" s="26">
        <f t="shared" si="79"/>
        <v>0</v>
      </c>
      <c r="J423" s="25">
        <f t="shared" si="80"/>
        <v>1</v>
      </c>
      <c r="K423" s="24">
        <f t="shared" si="81"/>
        <v>0</v>
      </c>
    </row>
    <row r="424" spans="1:11" x14ac:dyDescent="0.3">
      <c r="A424" s="101" t="s">
        <v>836</v>
      </c>
      <c r="B424" s="28" t="s">
        <v>88</v>
      </c>
      <c r="C424" s="1" t="s">
        <v>71</v>
      </c>
      <c r="E424" s="187" t="s">
        <v>87</v>
      </c>
      <c r="F424" s="56">
        <v>0</v>
      </c>
      <c r="G424" s="75">
        <v>16615.599999999999</v>
      </c>
      <c r="H424" s="55">
        <v>0</v>
      </c>
      <c r="I424" s="26">
        <f t="shared" si="79"/>
        <v>0</v>
      </c>
      <c r="J424" s="25">
        <f t="shared" si="80"/>
        <v>1</v>
      </c>
      <c r="K424" s="24">
        <f t="shared" si="81"/>
        <v>0</v>
      </c>
    </row>
    <row r="425" spans="1:11" x14ac:dyDescent="0.3">
      <c r="A425" s="101" t="s">
        <v>836</v>
      </c>
      <c r="B425" s="28" t="s">
        <v>86</v>
      </c>
      <c r="C425" s="1" t="s">
        <v>71</v>
      </c>
      <c r="E425" s="187" t="s">
        <v>85</v>
      </c>
      <c r="F425" s="56">
        <v>0</v>
      </c>
      <c r="G425" s="75">
        <v>16815.599999999999</v>
      </c>
      <c r="H425" s="55">
        <v>0</v>
      </c>
      <c r="I425" s="26">
        <f t="shared" si="79"/>
        <v>0</v>
      </c>
      <c r="J425" s="25">
        <f t="shared" si="80"/>
        <v>1</v>
      </c>
      <c r="K425" s="24">
        <f t="shared" si="81"/>
        <v>0</v>
      </c>
    </row>
    <row r="426" spans="1:11" x14ac:dyDescent="0.3">
      <c r="A426" s="101" t="s">
        <v>836</v>
      </c>
      <c r="B426" s="28" t="s">
        <v>84</v>
      </c>
      <c r="C426" s="1" t="s">
        <v>71</v>
      </c>
      <c r="E426" s="187" t="s">
        <v>83</v>
      </c>
      <c r="F426" s="56">
        <v>0</v>
      </c>
      <c r="G426" s="75">
        <v>17015.599999999999</v>
      </c>
      <c r="H426" s="55">
        <v>0</v>
      </c>
      <c r="I426" s="26">
        <f t="shared" si="79"/>
        <v>0</v>
      </c>
      <c r="J426" s="25">
        <f t="shared" si="80"/>
        <v>1</v>
      </c>
      <c r="K426" s="24">
        <f t="shared" si="81"/>
        <v>0</v>
      </c>
    </row>
    <row r="427" spans="1:11" x14ac:dyDescent="0.3">
      <c r="A427" s="101" t="s">
        <v>836</v>
      </c>
      <c r="B427" s="28" t="s">
        <v>82</v>
      </c>
      <c r="C427" s="1" t="s">
        <v>71</v>
      </c>
      <c r="E427" s="187" t="s">
        <v>81</v>
      </c>
      <c r="F427" s="56">
        <v>0</v>
      </c>
      <c r="G427" s="75">
        <v>17715.599999999999</v>
      </c>
      <c r="H427" s="55">
        <v>0</v>
      </c>
      <c r="I427" s="26">
        <f t="shared" si="79"/>
        <v>0</v>
      </c>
      <c r="J427" s="25">
        <f t="shared" si="80"/>
        <v>1</v>
      </c>
      <c r="K427" s="24">
        <f t="shared" si="81"/>
        <v>0</v>
      </c>
    </row>
    <row r="428" spans="1:11" x14ac:dyDescent="0.3">
      <c r="A428" s="101" t="s">
        <v>836</v>
      </c>
      <c r="B428" s="28" t="s">
        <v>80</v>
      </c>
      <c r="C428" s="1" t="s">
        <v>71</v>
      </c>
      <c r="E428" s="187" t="s">
        <v>79</v>
      </c>
      <c r="F428" s="56">
        <v>0</v>
      </c>
      <c r="G428" s="75">
        <v>20815.599999999999</v>
      </c>
      <c r="H428" s="55">
        <v>0</v>
      </c>
      <c r="I428" s="26">
        <f t="shared" si="79"/>
        <v>0</v>
      </c>
      <c r="J428" s="25">
        <f t="shared" si="80"/>
        <v>1</v>
      </c>
      <c r="K428" s="24">
        <f t="shared" si="81"/>
        <v>0</v>
      </c>
    </row>
    <row r="429" spans="1:11" x14ac:dyDescent="0.3">
      <c r="A429" s="101" t="s">
        <v>836</v>
      </c>
      <c r="B429" s="28" t="s">
        <v>78</v>
      </c>
      <c r="C429" s="1" t="s">
        <v>71</v>
      </c>
      <c r="E429" s="187" t="s">
        <v>77</v>
      </c>
      <c r="F429" s="56">
        <v>0</v>
      </c>
      <c r="G429" s="75">
        <v>23615.599999999999</v>
      </c>
      <c r="H429" s="55">
        <v>0</v>
      </c>
      <c r="I429" s="26">
        <f t="shared" si="79"/>
        <v>0</v>
      </c>
      <c r="J429" s="25">
        <f t="shared" si="80"/>
        <v>1</v>
      </c>
      <c r="K429" s="24">
        <f t="shared" si="81"/>
        <v>0</v>
      </c>
    </row>
    <row r="430" spans="1:11" x14ac:dyDescent="0.3">
      <c r="A430" s="101" t="s">
        <v>836</v>
      </c>
      <c r="B430" s="28" t="s">
        <v>76</v>
      </c>
      <c r="C430" s="1" t="s">
        <v>71</v>
      </c>
      <c r="E430" s="187" t="s">
        <v>75</v>
      </c>
      <c r="F430" s="56">
        <v>0</v>
      </c>
      <c r="G430" s="75">
        <v>28415.599999999999</v>
      </c>
      <c r="H430" s="55">
        <v>0</v>
      </c>
      <c r="I430" s="26">
        <f t="shared" si="79"/>
        <v>0</v>
      </c>
      <c r="J430" s="25">
        <f t="shared" si="80"/>
        <v>1</v>
      </c>
      <c r="K430" s="24">
        <f t="shared" si="81"/>
        <v>0</v>
      </c>
    </row>
    <row r="431" spans="1:11" x14ac:dyDescent="0.3">
      <c r="A431" s="101" t="s">
        <v>836</v>
      </c>
      <c r="B431" s="28" t="s">
        <v>74</v>
      </c>
      <c r="C431" s="1" t="s">
        <v>71</v>
      </c>
      <c r="E431" s="187" t="s">
        <v>73</v>
      </c>
      <c r="F431" s="56">
        <v>0</v>
      </c>
      <c r="G431" s="75">
        <v>35615.599999999999</v>
      </c>
      <c r="H431" s="55">
        <v>0</v>
      </c>
      <c r="I431" s="26">
        <f t="shared" si="79"/>
        <v>0</v>
      </c>
      <c r="J431" s="25">
        <f t="shared" si="80"/>
        <v>1</v>
      </c>
      <c r="K431" s="24">
        <f t="shared" si="81"/>
        <v>0</v>
      </c>
    </row>
    <row r="432" spans="1:11" x14ac:dyDescent="0.3">
      <c r="A432" s="101" t="s">
        <v>836</v>
      </c>
      <c r="B432" s="28" t="s">
        <v>72</v>
      </c>
      <c r="C432" s="1" t="s">
        <v>71</v>
      </c>
      <c r="D432" s="173"/>
      <c r="E432" s="187"/>
      <c r="F432" s="56">
        <v>0</v>
      </c>
      <c r="G432" s="26">
        <v>93000</v>
      </c>
      <c r="H432" s="55">
        <v>0.17499999999999999</v>
      </c>
      <c r="I432" s="26">
        <f t="shared" si="79"/>
        <v>0</v>
      </c>
      <c r="J432" s="25">
        <f t="shared" si="80"/>
        <v>1</v>
      </c>
      <c r="K432" s="24">
        <f t="shared" si="81"/>
        <v>0</v>
      </c>
    </row>
    <row r="433" spans="1:11" ht="15" thickBot="1" x14ac:dyDescent="0.35">
      <c r="A433" s="101" t="s">
        <v>836</v>
      </c>
      <c r="B433" s="28"/>
      <c r="C433" s="1"/>
      <c r="D433" s="57"/>
      <c r="E433" s="57"/>
      <c r="F433" s="56"/>
      <c r="G433" s="26"/>
      <c r="H433" s="55"/>
      <c r="I433" s="26"/>
      <c r="J433" s="25"/>
      <c r="K433" s="24"/>
    </row>
    <row r="434" spans="1:11" ht="15" customHeight="1" thickBot="1" x14ac:dyDescent="0.35">
      <c r="A434" s="101" t="s">
        <v>836</v>
      </c>
      <c r="B434" s="309" t="s">
        <v>724</v>
      </c>
      <c r="C434" s="310"/>
      <c r="D434" s="310"/>
      <c r="E434" s="310"/>
      <c r="F434" s="310"/>
      <c r="G434" s="310"/>
      <c r="H434" s="310"/>
      <c r="I434" s="310"/>
      <c r="J434" s="310"/>
      <c r="K434" s="311"/>
    </row>
    <row r="435" spans="1:11" x14ac:dyDescent="0.3">
      <c r="A435" s="101" t="s">
        <v>836</v>
      </c>
      <c r="B435" s="28" t="s">
        <v>793</v>
      </c>
      <c r="C435" s="54" t="s">
        <v>71</v>
      </c>
      <c r="D435" s="200" t="s">
        <v>790</v>
      </c>
      <c r="E435" s="187" t="s">
        <v>789</v>
      </c>
      <c r="F435" s="10">
        <v>0</v>
      </c>
      <c r="G435" s="176">
        <v>18340</v>
      </c>
      <c r="H435" s="27">
        <v>0</v>
      </c>
      <c r="I435" s="26">
        <f>(G435*(100%-H435))*F435</f>
        <v>0</v>
      </c>
      <c r="J435" s="25">
        <f t="shared" si="74"/>
        <v>1</v>
      </c>
      <c r="K435" s="24">
        <f t="shared" ref="K435:K437" si="82">I435/$K$5</f>
        <v>0</v>
      </c>
    </row>
    <row r="436" spans="1:11" x14ac:dyDescent="0.3">
      <c r="A436" s="101" t="s">
        <v>836</v>
      </c>
      <c r="B436" s="28" t="s">
        <v>796</v>
      </c>
      <c r="C436" s="54" t="s">
        <v>71</v>
      </c>
      <c r="D436" s="201" t="s">
        <v>792</v>
      </c>
      <c r="E436" s="187" t="s">
        <v>791</v>
      </c>
      <c r="F436" s="10">
        <v>0</v>
      </c>
      <c r="G436" s="176">
        <v>9765</v>
      </c>
      <c r="H436" s="27">
        <v>0</v>
      </c>
      <c r="I436" s="26">
        <f>(G436*(100%-H436))*F436</f>
        <v>0</v>
      </c>
      <c r="J436" s="25">
        <f t="shared" si="74"/>
        <v>1</v>
      </c>
      <c r="K436" s="24">
        <f t="shared" si="82"/>
        <v>0</v>
      </c>
    </row>
    <row r="437" spans="1:11" x14ac:dyDescent="0.3">
      <c r="A437" s="101" t="s">
        <v>836</v>
      </c>
      <c r="B437" s="28" t="s">
        <v>788</v>
      </c>
      <c r="C437" s="54" t="s">
        <v>71</v>
      </c>
      <c r="D437" s="201" t="s">
        <v>985</v>
      </c>
      <c r="E437" s="187" t="s">
        <v>794</v>
      </c>
      <c r="F437" s="10">
        <v>0</v>
      </c>
      <c r="G437" s="176">
        <v>10962</v>
      </c>
      <c r="H437" s="27">
        <v>0</v>
      </c>
      <c r="I437" s="26">
        <f>(G437*(100%-H437))*F437</f>
        <v>0</v>
      </c>
      <c r="J437" s="25">
        <f t="shared" si="74"/>
        <v>1</v>
      </c>
      <c r="K437" s="24">
        <f t="shared" si="82"/>
        <v>0</v>
      </c>
    </row>
    <row r="438" spans="1:11" x14ac:dyDescent="0.3">
      <c r="A438" s="101" t="s">
        <v>836</v>
      </c>
      <c r="B438" s="28"/>
      <c r="C438" s="54"/>
      <c r="D438" s="175"/>
      <c r="E438" s="70"/>
      <c r="F438" s="10"/>
      <c r="G438" s="62"/>
      <c r="H438" s="27"/>
      <c r="I438" s="26"/>
      <c r="J438" s="25"/>
      <c r="K438" s="24"/>
    </row>
    <row r="439" spans="1:11" x14ac:dyDescent="0.3">
      <c r="A439" s="101" t="s">
        <v>836</v>
      </c>
      <c r="B439" s="28" t="s">
        <v>793</v>
      </c>
      <c r="C439" s="54" t="s">
        <v>739</v>
      </c>
      <c r="D439" s="200" t="s">
        <v>804</v>
      </c>
      <c r="E439" s="187" t="s">
        <v>803</v>
      </c>
      <c r="F439" s="10">
        <v>0</v>
      </c>
      <c r="G439" s="62">
        <v>10479.450000000001</v>
      </c>
      <c r="H439" s="27">
        <v>0</v>
      </c>
      <c r="I439" s="26">
        <f>(G439*(100%-H439))*F439</f>
        <v>0</v>
      </c>
      <c r="J439" s="25">
        <f t="shared" si="74"/>
        <v>1</v>
      </c>
      <c r="K439" s="24">
        <f t="shared" si="75"/>
        <v>0</v>
      </c>
    </row>
    <row r="440" spans="1:11" x14ac:dyDescent="0.3">
      <c r="A440" s="101" t="s">
        <v>836</v>
      </c>
      <c r="B440" s="28" t="s">
        <v>798</v>
      </c>
      <c r="C440" s="54" t="s">
        <v>739</v>
      </c>
      <c r="D440" s="200" t="s">
        <v>799</v>
      </c>
      <c r="E440" s="187" t="s">
        <v>797</v>
      </c>
      <c r="F440" s="10">
        <v>0</v>
      </c>
      <c r="G440" s="62">
        <v>4778.1000000000004</v>
      </c>
      <c r="H440" s="27">
        <v>0</v>
      </c>
      <c r="I440" s="26">
        <f>(G440*(100%-H440))*F440</f>
        <v>0</v>
      </c>
      <c r="J440" s="25">
        <f t="shared" si="74"/>
        <v>1</v>
      </c>
      <c r="K440" s="24">
        <f t="shared" si="75"/>
        <v>0</v>
      </c>
    </row>
    <row r="441" spans="1:11" x14ac:dyDescent="0.3">
      <c r="A441" s="101" t="s">
        <v>836</v>
      </c>
      <c r="B441" s="28" t="s">
        <v>802</v>
      </c>
      <c r="C441" s="54" t="s">
        <v>739</v>
      </c>
      <c r="D441" s="200" t="s">
        <v>801</v>
      </c>
      <c r="E441" s="187" t="s">
        <v>800</v>
      </c>
      <c r="F441" s="10">
        <v>0</v>
      </c>
      <c r="G441" s="62">
        <v>5742.37</v>
      </c>
      <c r="H441" s="27">
        <v>0</v>
      </c>
      <c r="I441" s="26">
        <f>(G441*(100%-H441))*F441</f>
        <v>0</v>
      </c>
      <c r="J441" s="25">
        <f t="shared" si="74"/>
        <v>1</v>
      </c>
      <c r="K441" s="24">
        <f t="shared" si="75"/>
        <v>0</v>
      </c>
    </row>
    <row r="442" spans="1:11" ht="15" thickBot="1" x14ac:dyDescent="0.35">
      <c r="A442" s="101" t="s">
        <v>836</v>
      </c>
      <c r="B442" s="28" t="s">
        <v>788</v>
      </c>
      <c r="C442" s="54" t="s">
        <v>739</v>
      </c>
      <c r="D442" s="200" t="s">
        <v>795</v>
      </c>
      <c r="E442" s="187" t="s">
        <v>805</v>
      </c>
      <c r="F442" s="10">
        <v>0</v>
      </c>
      <c r="G442" s="62">
        <v>8677.74</v>
      </c>
      <c r="H442" s="27">
        <v>0</v>
      </c>
      <c r="I442" s="26">
        <f>(G442*(100%-H442))*F442</f>
        <v>0</v>
      </c>
      <c r="J442" s="25">
        <f t="shared" si="74"/>
        <v>1</v>
      </c>
      <c r="K442" s="24">
        <f t="shared" si="75"/>
        <v>0</v>
      </c>
    </row>
    <row r="443" spans="1:11" ht="15" customHeight="1" thickBot="1" x14ac:dyDescent="0.35">
      <c r="A443" s="101" t="s">
        <v>836</v>
      </c>
      <c r="B443" s="309" t="s">
        <v>728</v>
      </c>
      <c r="C443" s="310"/>
      <c r="D443" s="310"/>
      <c r="E443" s="310"/>
      <c r="F443" s="310"/>
      <c r="G443" s="310"/>
      <c r="H443" s="310"/>
      <c r="I443" s="310"/>
      <c r="J443" s="310"/>
      <c r="K443" s="311"/>
    </row>
    <row r="444" spans="1:11" ht="15" thickBot="1" x14ac:dyDescent="0.35">
      <c r="A444" s="101" t="s">
        <v>836</v>
      </c>
      <c r="B444" s="15" t="s">
        <v>234</v>
      </c>
      <c r="C444" s="54" t="s">
        <v>39</v>
      </c>
      <c r="D444" s="197" t="s">
        <v>233</v>
      </c>
      <c r="E444" s="174"/>
      <c r="F444" s="10">
        <v>0</v>
      </c>
      <c r="G444" s="26">
        <v>431</v>
      </c>
      <c r="H444" s="27">
        <v>0</v>
      </c>
      <c r="I444" s="26">
        <f>(G444*(100%-H444))*F444</f>
        <v>0</v>
      </c>
      <c r="J444" s="25">
        <f t="shared" si="60"/>
        <v>1</v>
      </c>
      <c r="K444" s="24">
        <f>I444/$K$5</f>
        <v>0</v>
      </c>
    </row>
    <row r="445" spans="1:11" ht="15" customHeight="1" thickBot="1" x14ac:dyDescent="0.35">
      <c r="A445" s="101" t="s">
        <v>836</v>
      </c>
      <c r="B445" s="309" t="s">
        <v>725</v>
      </c>
      <c r="C445" s="310"/>
      <c r="D445" s="310"/>
      <c r="E445" s="310"/>
      <c r="F445" s="310"/>
      <c r="G445" s="310"/>
      <c r="H445" s="310"/>
      <c r="I445" s="310"/>
      <c r="J445" s="310"/>
      <c r="K445" s="311"/>
    </row>
    <row r="446" spans="1:11" x14ac:dyDescent="0.3">
      <c r="A446" s="101" t="s">
        <v>836</v>
      </c>
      <c r="B446" s="28" t="s">
        <v>107</v>
      </c>
      <c r="C446" s="92" t="s">
        <v>39</v>
      </c>
      <c r="D446" s="197" t="s">
        <v>114</v>
      </c>
      <c r="E446" s="174"/>
      <c r="F446" s="10">
        <v>0</v>
      </c>
      <c r="G446" s="62">
        <v>5037</v>
      </c>
      <c r="H446" s="27">
        <v>0</v>
      </c>
      <c r="I446" s="26">
        <f t="shared" ref="I446:I453" si="83">(G446*(100%-H446))*F446</f>
        <v>0</v>
      </c>
      <c r="J446" s="25">
        <f t="shared" si="74"/>
        <v>1</v>
      </c>
      <c r="K446" s="24">
        <f t="shared" si="75"/>
        <v>0</v>
      </c>
    </row>
    <row r="447" spans="1:11" x14ac:dyDescent="0.3">
      <c r="A447" s="101" t="s">
        <v>836</v>
      </c>
      <c r="B447" s="28" t="s">
        <v>107</v>
      </c>
      <c r="C447" s="92" t="s">
        <v>39</v>
      </c>
      <c r="D447" s="197" t="s">
        <v>113</v>
      </c>
      <c r="E447" s="174"/>
      <c r="F447" s="10">
        <v>0</v>
      </c>
      <c r="G447" s="62">
        <v>3752</v>
      </c>
      <c r="H447" s="27">
        <v>0</v>
      </c>
      <c r="I447" s="26">
        <f t="shared" si="83"/>
        <v>0</v>
      </c>
      <c r="J447" s="25">
        <f t="shared" si="74"/>
        <v>1</v>
      </c>
      <c r="K447" s="24">
        <f t="shared" si="75"/>
        <v>0</v>
      </c>
    </row>
    <row r="448" spans="1:11" x14ac:dyDescent="0.3">
      <c r="A448" s="101" t="s">
        <v>836</v>
      </c>
      <c r="B448" s="28" t="s">
        <v>107</v>
      </c>
      <c r="C448" s="92" t="s">
        <v>39</v>
      </c>
      <c r="D448" s="197" t="s">
        <v>112</v>
      </c>
      <c r="E448" s="174"/>
      <c r="F448" s="10">
        <v>0</v>
      </c>
      <c r="G448" s="62">
        <v>2853</v>
      </c>
      <c r="H448" s="27">
        <v>0</v>
      </c>
      <c r="I448" s="26">
        <f t="shared" si="83"/>
        <v>0</v>
      </c>
      <c r="J448" s="25">
        <f t="shared" si="74"/>
        <v>1</v>
      </c>
      <c r="K448" s="24">
        <f t="shared" si="75"/>
        <v>0</v>
      </c>
    </row>
    <row r="449" spans="1:21" x14ac:dyDescent="0.3">
      <c r="A449" s="101" t="s">
        <v>836</v>
      </c>
      <c r="B449" s="28" t="s">
        <v>107</v>
      </c>
      <c r="C449" s="92" t="s">
        <v>39</v>
      </c>
      <c r="D449" s="197" t="s">
        <v>111</v>
      </c>
      <c r="E449" s="174"/>
      <c r="F449" s="10">
        <v>0</v>
      </c>
      <c r="G449" s="62">
        <v>2361</v>
      </c>
      <c r="H449" s="27">
        <v>0</v>
      </c>
      <c r="I449" s="26">
        <f t="shared" si="83"/>
        <v>0</v>
      </c>
      <c r="J449" s="25">
        <f t="shared" si="74"/>
        <v>1</v>
      </c>
      <c r="K449" s="24">
        <f t="shared" si="75"/>
        <v>0</v>
      </c>
    </row>
    <row r="450" spans="1:21" x14ac:dyDescent="0.3">
      <c r="A450" s="101" t="s">
        <v>836</v>
      </c>
      <c r="B450" s="28" t="s">
        <v>107</v>
      </c>
      <c r="C450" s="92" t="s">
        <v>39</v>
      </c>
      <c r="D450" s="197" t="s">
        <v>110</v>
      </c>
      <c r="E450" s="174"/>
      <c r="F450" s="10">
        <v>0</v>
      </c>
      <c r="G450" s="62">
        <v>1696</v>
      </c>
      <c r="H450" s="27">
        <v>0</v>
      </c>
      <c r="I450" s="26">
        <f t="shared" si="83"/>
        <v>0</v>
      </c>
      <c r="J450" s="25">
        <f t="shared" si="74"/>
        <v>1</v>
      </c>
      <c r="K450" s="24">
        <f t="shared" si="75"/>
        <v>0</v>
      </c>
    </row>
    <row r="451" spans="1:21" x14ac:dyDescent="0.3">
      <c r="A451" s="101" t="s">
        <v>836</v>
      </c>
      <c r="B451" s="28" t="s">
        <v>107</v>
      </c>
      <c r="C451" s="92" t="s">
        <v>39</v>
      </c>
      <c r="D451" s="197" t="s">
        <v>109</v>
      </c>
      <c r="E451" s="174"/>
      <c r="F451" s="10">
        <v>0</v>
      </c>
      <c r="G451" s="62">
        <v>1607</v>
      </c>
      <c r="H451" s="27">
        <v>0</v>
      </c>
      <c r="I451" s="26">
        <f t="shared" si="83"/>
        <v>0</v>
      </c>
      <c r="J451" s="25">
        <f t="shared" si="74"/>
        <v>1</v>
      </c>
      <c r="K451" s="24">
        <f t="shared" si="75"/>
        <v>0</v>
      </c>
    </row>
    <row r="452" spans="1:21" x14ac:dyDescent="0.3">
      <c r="A452" s="101" t="s">
        <v>836</v>
      </c>
      <c r="B452" s="28" t="s">
        <v>107</v>
      </c>
      <c r="C452" s="92" t="s">
        <v>39</v>
      </c>
      <c r="D452" s="197" t="s">
        <v>108</v>
      </c>
      <c r="E452" s="174"/>
      <c r="F452" s="10">
        <v>0</v>
      </c>
      <c r="G452" s="62">
        <v>1375</v>
      </c>
      <c r="H452" s="27">
        <v>0</v>
      </c>
      <c r="I452" s="26">
        <f t="shared" si="83"/>
        <v>0</v>
      </c>
      <c r="J452" s="25">
        <f t="shared" si="74"/>
        <v>1</v>
      </c>
      <c r="K452" s="24">
        <f t="shared" si="75"/>
        <v>0</v>
      </c>
    </row>
    <row r="453" spans="1:21" ht="15" thickBot="1" x14ac:dyDescent="0.35">
      <c r="A453" s="101" t="s">
        <v>836</v>
      </c>
      <c r="B453" s="28" t="s">
        <v>107</v>
      </c>
      <c r="C453" s="92" t="s">
        <v>39</v>
      </c>
      <c r="D453" s="197" t="s">
        <v>106</v>
      </c>
      <c r="E453" s="174"/>
      <c r="F453" s="10">
        <v>0</v>
      </c>
      <c r="G453" s="62">
        <v>1170</v>
      </c>
      <c r="H453" s="27">
        <v>0</v>
      </c>
      <c r="I453" s="26">
        <f t="shared" si="83"/>
        <v>0</v>
      </c>
      <c r="J453" s="25">
        <f t="shared" si="74"/>
        <v>1</v>
      </c>
      <c r="K453" s="24">
        <f t="shared" si="75"/>
        <v>0</v>
      </c>
    </row>
    <row r="454" spans="1:21" ht="15" customHeight="1" thickBot="1" x14ac:dyDescent="0.35">
      <c r="A454" s="101" t="s">
        <v>836</v>
      </c>
      <c r="B454" s="309" t="s">
        <v>726</v>
      </c>
      <c r="C454" s="310"/>
      <c r="D454" s="310"/>
      <c r="E454" s="310"/>
      <c r="F454" s="310"/>
      <c r="G454" s="310"/>
      <c r="H454" s="310"/>
      <c r="I454" s="310"/>
      <c r="J454" s="310"/>
      <c r="K454" s="311"/>
    </row>
    <row r="455" spans="1:21" ht="15" thickBot="1" x14ac:dyDescent="0.35">
      <c r="A455" s="101" t="s">
        <v>836</v>
      </c>
      <c r="B455" s="28" t="s">
        <v>105</v>
      </c>
      <c r="C455" s="92" t="s">
        <v>811</v>
      </c>
      <c r="D455" s="197" t="s">
        <v>812</v>
      </c>
      <c r="E455" s="190" t="s">
        <v>814</v>
      </c>
      <c r="F455" s="10">
        <v>0</v>
      </c>
      <c r="G455" s="62">
        <v>13056</v>
      </c>
      <c r="H455" s="27">
        <v>0</v>
      </c>
      <c r="I455" s="26">
        <f>(G455*(100%-H455))*F455</f>
        <v>0</v>
      </c>
      <c r="J455" s="25">
        <f t="shared" si="74"/>
        <v>1</v>
      </c>
      <c r="K455" s="24">
        <f t="shared" si="75"/>
        <v>0</v>
      </c>
    </row>
    <row r="456" spans="1:21" ht="15" customHeight="1" thickBot="1" x14ac:dyDescent="0.35">
      <c r="A456" s="101" t="s">
        <v>836</v>
      </c>
      <c r="B456" s="309" t="s">
        <v>727</v>
      </c>
      <c r="C456" s="310"/>
      <c r="D456" s="310"/>
      <c r="E456" s="310"/>
      <c r="F456" s="310"/>
      <c r="G456" s="310"/>
      <c r="H456" s="310"/>
      <c r="I456" s="310"/>
      <c r="J456" s="310"/>
      <c r="K456" s="311"/>
    </row>
    <row r="457" spans="1:21" x14ac:dyDescent="0.3">
      <c r="A457" s="101" t="s">
        <v>836</v>
      </c>
      <c r="B457" s="28" t="s">
        <v>115</v>
      </c>
      <c r="C457" s="54"/>
      <c r="F457" s="10">
        <v>0</v>
      </c>
      <c r="G457" s="62">
        <v>7500</v>
      </c>
      <c r="H457" s="27">
        <v>0</v>
      </c>
      <c r="I457" s="26">
        <f>(G457*(100%-H457))*F457</f>
        <v>0</v>
      </c>
      <c r="J457" s="25">
        <f t="shared" si="74"/>
        <v>1</v>
      </c>
      <c r="K457" s="24">
        <f>I457/$K$5</f>
        <v>0</v>
      </c>
    </row>
    <row r="458" spans="1:21" x14ac:dyDescent="0.3">
      <c r="A458" s="101" t="s">
        <v>836</v>
      </c>
      <c r="B458" s="28"/>
      <c r="C458" s="54"/>
      <c r="D458" s="53"/>
      <c r="E458" s="53"/>
      <c r="F458" s="52"/>
      <c r="G458" s="50"/>
      <c r="H458" s="51"/>
      <c r="I458" s="50"/>
      <c r="J458" s="49"/>
      <c r="K458" s="48"/>
    </row>
    <row r="459" spans="1:21" ht="18.600000000000001" thickBot="1" x14ac:dyDescent="0.35">
      <c r="A459" s="101" t="s">
        <v>836</v>
      </c>
      <c r="B459" s="21"/>
      <c r="C459" s="20"/>
      <c r="F459" s="20"/>
      <c r="G459" s="20"/>
      <c r="H459" s="19" t="s">
        <v>9</v>
      </c>
      <c r="I459" s="18">
        <f>SUM(I388:I455)</f>
        <v>0</v>
      </c>
      <c r="J459" s="17"/>
      <c r="K459" s="16">
        <f>SUM(K388:K455)</f>
        <v>0</v>
      </c>
    </row>
    <row r="460" spans="1:21" x14ac:dyDescent="0.3">
      <c r="A460" s="101" t="s">
        <v>836</v>
      </c>
      <c r="B460" s="304" t="s">
        <v>603</v>
      </c>
      <c r="C460" s="304"/>
      <c r="D460" s="304"/>
      <c r="E460" s="304"/>
      <c r="F460" s="304"/>
      <c r="G460" s="304"/>
      <c r="H460" s="304"/>
      <c r="I460" s="304"/>
      <c r="J460" s="304"/>
      <c r="K460" s="305"/>
    </row>
    <row r="461" spans="1:21" ht="15" thickBot="1" x14ac:dyDescent="0.35">
      <c r="A461" s="101" t="s">
        <v>836</v>
      </c>
      <c r="B461" s="312"/>
      <c r="C461" s="312"/>
      <c r="D461" s="312"/>
      <c r="E461" s="312"/>
      <c r="F461" s="312"/>
      <c r="G461" s="312"/>
      <c r="H461" s="312"/>
      <c r="I461" s="312"/>
      <c r="J461" s="312"/>
      <c r="K461" s="313"/>
    </row>
    <row r="462" spans="1:21" x14ac:dyDescent="0.3">
      <c r="A462" s="101" t="s">
        <v>836</v>
      </c>
      <c r="B462" s="47"/>
      <c r="C462" s="46"/>
      <c r="D462" s="46"/>
      <c r="E462" s="46"/>
      <c r="F462" s="46"/>
      <c r="G462" s="46"/>
      <c r="H462" s="46"/>
      <c r="I462" s="46"/>
      <c r="J462" s="46"/>
      <c r="K462" s="45"/>
      <c r="M462" s="44" t="s">
        <v>70</v>
      </c>
      <c r="N462" s="34"/>
      <c r="O462" s="34"/>
      <c r="P462" s="34"/>
      <c r="Q462" s="34"/>
      <c r="R462" s="34"/>
      <c r="S462" s="34"/>
      <c r="T462" s="34"/>
      <c r="U462" s="43"/>
    </row>
    <row r="463" spans="1:21" x14ac:dyDescent="0.3">
      <c r="A463" s="101" t="s">
        <v>836</v>
      </c>
      <c r="B463" t="s">
        <v>69</v>
      </c>
      <c r="C463" t="s">
        <v>30</v>
      </c>
      <c r="D463" s="70"/>
      <c r="E463" s="70"/>
      <c r="F463" s="10">
        <v>10</v>
      </c>
      <c r="G463" s="26">
        <v>10</v>
      </c>
      <c r="H463" s="27">
        <v>0</v>
      </c>
      <c r="I463" s="26">
        <f>(G463*(100%-H463))*F463</f>
        <v>100</v>
      </c>
      <c r="J463" s="25">
        <f>$K$5</f>
        <v>1</v>
      </c>
      <c r="K463" s="24">
        <f>I463/$K$5</f>
        <v>100</v>
      </c>
      <c r="M463" s="7"/>
      <c r="U463" s="8"/>
    </row>
    <row r="464" spans="1:21" x14ac:dyDescent="0.3">
      <c r="A464" s="101" t="s">
        <v>836</v>
      </c>
      <c r="C464" s="14"/>
      <c r="D464" s="70"/>
      <c r="E464" s="70"/>
      <c r="F464" s="14"/>
      <c r="G464" s="42"/>
      <c r="H464" s="14"/>
      <c r="I464" s="14"/>
      <c r="J464" s="14"/>
      <c r="K464" s="22"/>
      <c r="M464" s="7" t="s">
        <v>68</v>
      </c>
      <c r="U464" s="8"/>
    </row>
    <row r="465" spans="1:21" x14ac:dyDescent="0.3">
      <c r="A465" s="101" t="s">
        <v>836</v>
      </c>
      <c r="B465" t="s">
        <v>67</v>
      </c>
      <c r="C465" t="s">
        <v>30</v>
      </c>
      <c r="D465" s="70"/>
      <c r="E465" s="70"/>
      <c r="F465" s="10">
        <v>0</v>
      </c>
      <c r="G465" s="26">
        <v>30</v>
      </c>
      <c r="H465" s="27">
        <v>0</v>
      </c>
      <c r="I465" s="26">
        <f t="shared" ref="I465:I476" si="84">(G465*(100%-H465))*F465</f>
        <v>0</v>
      </c>
      <c r="J465" s="25">
        <f t="shared" ref="J465:J476" si="85">$K$5</f>
        <v>1</v>
      </c>
      <c r="K465" s="24">
        <f t="shared" ref="K465:K476" si="86">I465/$K$5</f>
        <v>0</v>
      </c>
      <c r="M465" s="7" t="s">
        <v>66</v>
      </c>
      <c r="U465" s="8"/>
    </row>
    <row r="466" spans="1:21" x14ac:dyDescent="0.3">
      <c r="A466" s="101" t="s">
        <v>836</v>
      </c>
      <c r="B466" t="s">
        <v>65</v>
      </c>
      <c r="C466" t="s">
        <v>30</v>
      </c>
      <c r="D466" s="70"/>
      <c r="E466" s="70"/>
      <c r="F466" s="10">
        <v>0</v>
      </c>
      <c r="G466" s="26">
        <v>44</v>
      </c>
      <c r="H466" s="27">
        <v>0</v>
      </c>
      <c r="I466" s="26">
        <f t="shared" si="84"/>
        <v>0</v>
      </c>
      <c r="J466" s="25">
        <f t="shared" si="85"/>
        <v>1</v>
      </c>
      <c r="K466" s="24">
        <f t="shared" si="86"/>
        <v>0</v>
      </c>
      <c r="M466" s="7" t="s">
        <v>64</v>
      </c>
      <c r="U466" s="8"/>
    </row>
    <row r="467" spans="1:21" x14ac:dyDescent="0.3">
      <c r="A467" s="101" t="s">
        <v>836</v>
      </c>
      <c r="B467" t="s">
        <v>63</v>
      </c>
      <c r="C467" t="s">
        <v>30</v>
      </c>
      <c r="D467" s="70"/>
      <c r="E467" s="70"/>
      <c r="F467" s="10">
        <v>0</v>
      </c>
      <c r="G467" s="26">
        <v>56</v>
      </c>
      <c r="H467" s="27">
        <v>0</v>
      </c>
      <c r="I467" s="26">
        <f t="shared" si="84"/>
        <v>0</v>
      </c>
      <c r="J467" s="25">
        <f t="shared" si="85"/>
        <v>1</v>
      </c>
      <c r="K467" s="24">
        <f t="shared" si="86"/>
        <v>0</v>
      </c>
      <c r="M467" s="7" t="s">
        <v>62</v>
      </c>
      <c r="S467">
        <v>50</v>
      </c>
      <c r="T467">
        <v>38.72</v>
      </c>
      <c r="U467" s="8">
        <f>T467*S467</f>
        <v>1936</v>
      </c>
    </row>
    <row r="468" spans="1:21" x14ac:dyDescent="0.3">
      <c r="A468" s="101" t="s">
        <v>836</v>
      </c>
      <c r="B468" t="s">
        <v>61</v>
      </c>
      <c r="C468" t="s">
        <v>30</v>
      </c>
      <c r="D468" s="70"/>
      <c r="E468" s="70"/>
      <c r="F468" s="10">
        <v>0</v>
      </c>
      <c r="G468" s="26">
        <v>85</v>
      </c>
      <c r="H468" s="27">
        <v>0</v>
      </c>
      <c r="I468" s="26">
        <f t="shared" si="84"/>
        <v>0</v>
      </c>
      <c r="J468" s="25">
        <f t="shared" si="85"/>
        <v>1</v>
      </c>
      <c r="K468" s="24">
        <f t="shared" si="86"/>
        <v>0</v>
      </c>
      <c r="M468" s="7" t="s">
        <v>60</v>
      </c>
      <c r="S468">
        <v>50</v>
      </c>
      <c r="T468">
        <v>38.72</v>
      </c>
      <c r="U468" s="8">
        <f>T468*S468</f>
        <v>1936</v>
      </c>
    </row>
    <row r="469" spans="1:21" x14ac:dyDescent="0.3">
      <c r="A469" s="101" t="s">
        <v>836</v>
      </c>
      <c r="B469" t="s">
        <v>59</v>
      </c>
      <c r="C469" t="s">
        <v>30</v>
      </c>
      <c r="D469" s="70"/>
      <c r="E469" s="70"/>
      <c r="F469" s="10">
        <v>0</v>
      </c>
      <c r="G469" s="26">
        <v>115</v>
      </c>
      <c r="H469" s="27">
        <v>0</v>
      </c>
      <c r="I469" s="26">
        <f t="shared" si="84"/>
        <v>0</v>
      </c>
      <c r="J469" s="25">
        <f t="shared" si="85"/>
        <v>1</v>
      </c>
      <c r="K469" s="24">
        <f t="shared" si="86"/>
        <v>0</v>
      </c>
      <c r="M469" s="7" t="s">
        <v>58</v>
      </c>
      <c r="U469" s="8"/>
    </row>
    <row r="470" spans="1:21" x14ac:dyDescent="0.3">
      <c r="A470" s="101" t="s">
        <v>836</v>
      </c>
      <c r="B470" t="s">
        <v>57</v>
      </c>
      <c r="C470" t="s">
        <v>30</v>
      </c>
      <c r="D470" s="70"/>
      <c r="E470" s="70"/>
      <c r="F470" s="10">
        <v>0</v>
      </c>
      <c r="G470" s="26">
        <v>184</v>
      </c>
      <c r="H470" s="27">
        <v>0</v>
      </c>
      <c r="I470" s="26">
        <f t="shared" si="84"/>
        <v>0</v>
      </c>
      <c r="J470" s="25">
        <f t="shared" si="85"/>
        <v>1</v>
      </c>
      <c r="K470" s="24">
        <f t="shared" si="86"/>
        <v>0</v>
      </c>
      <c r="M470" s="7" t="s">
        <v>56</v>
      </c>
      <c r="U470" s="8"/>
    </row>
    <row r="471" spans="1:21" x14ac:dyDescent="0.3">
      <c r="A471" s="101" t="s">
        <v>836</v>
      </c>
      <c r="B471" t="s">
        <v>55</v>
      </c>
      <c r="C471" t="s">
        <v>30</v>
      </c>
      <c r="D471" s="70"/>
      <c r="E471" s="70"/>
      <c r="F471" s="10">
        <v>0</v>
      </c>
      <c r="G471" s="26">
        <v>250</v>
      </c>
      <c r="H471" s="27">
        <v>0</v>
      </c>
      <c r="I471" s="26">
        <f t="shared" si="84"/>
        <v>0</v>
      </c>
      <c r="J471" s="25">
        <f t="shared" si="85"/>
        <v>1</v>
      </c>
      <c r="K471" s="24">
        <f t="shared" si="86"/>
        <v>0</v>
      </c>
      <c r="M471" s="7" t="s">
        <v>54</v>
      </c>
      <c r="U471" s="8"/>
    </row>
    <row r="472" spans="1:21" x14ac:dyDescent="0.3">
      <c r="A472" s="101" t="s">
        <v>836</v>
      </c>
      <c r="B472" t="s">
        <v>53</v>
      </c>
      <c r="C472" t="s">
        <v>30</v>
      </c>
      <c r="D472" s="70"/>
      <c r="E472" s="70"/>
      <c r="F472" s="10">
        <v>0</v>
      </c>
      <c r="G472" s="26">
        <v>355</v>
      </c>
      <c r="H472" s="27">
        <v>0</v>
      </c>
      <c r="I472" s="26">
        <f t="shared" si="84"/>
        <v>0</v>
      </c>
      <c r="J472" s="25">
        <f t="shared" si="85"/>
        <v>1</v>
      </c>
      <c r="K472" s="24">
        <f t="shared" si="86"/>
        <v>0</v>
      </c>
      <c r="M472" s="7" t="s">
        <v>52</v>
      </c>
      <c r="U472" s="8"/>
    </row>
    <row r="473" spans="1:21" x14ac:dyDescent="0.3">
      <c r="A473" s="101" t="s">
        <v>836</v>
      </c>
      <c r="B473" t="s">
        <v>51</v>
      </c>
      <c r="C473" t="s">
        <v>30</v>
      </c>
      <c r="D473" s="70"/>
      <c r="E473" s="70"/>
      <c r="F473" s="10">
        <v>0</v>
      </c>
      <c r="G473" s="26">
        <v>490</v>
      </c>
      <c r="H473" s="27">
        <v>0</v>
      </c>
      <c r="I473" s="26">
        <f t="shared" si="84"/>
        <v>0</v>
      </c>
      <c r="J473" s="25">
        <f t="shared" si="85"/>
        <v>1</v>
      </c>
      <c r="K473" s="24">
        <f t="shared" si="86"/>
        <v>0</v>
      </c>
      <c r="M473" s="7" t="s">
        <v>50</v>
      </c>
      <c r="U473" s="8"/>
    </row>
    <row r="474" spans="1:21" x14ac:dyDescent="0.3">
      <c r="A474" s="101" t="s">
        <v>836</v>
      </c>
      <c r="B474" t="s">
        <v>49</v>
      </c>
      <c r="C474" t="s">
        <v>30</v>
      </c>
      <c r="D474" s="70"/>
      <c r="E474" s="70"/>
      <c r="F474" s="10">
        <v>0</v>
      </c>
      <c r="G474" s="26">
        <v>635</v>
      </c>
      <c r="H474" s="27">
        <v>0</v>
      </c>
      <c r="I474" s="26">
        <f t="shared" si="84"/>
        <v>0</v>
      </c>
      <c r="J474" s="25">
        <f t="shared" si="85"/>
        <v>1</v>
      </c>
      <c r="K474" s="24">
        <f t="shared" si="86"/>
        <v>0</v>
      </c>
      <c r="M474" s="7" t="s">
        <v>48</v>
      </c>
      <c r="U474" s="8"/>
    </row>
    <row r="475" spans="1:21" x14ac:dyDescent="0.3">
      <c r="A475" s="101" t="s">
        <v>836</v>
      </c>
      <c r="B475" t="s">
        <v>47</v>
      </c>
      <c r="C475" t="s">
        <v>30</v>
      </c>
      <c r="D475" s="70"/>
      <c r="E475" s="70"/>
      <c r="F475" s="10">
        <v>0</v>
      </c>
      <c r="G475" s="26">
        <v>830</v>
      </c>
      <c r="H475" s="27">
        <v>0</v>
      </c>
      <c r="I475" s="26">
        <f t="shared" si="84"/>
        <v>0</v>
      </c>
      <c r="J475" s="25">
        <f t="shared" si="85"/>
        <v>1</v>
      </c>
      <c r="K475" s="24">
        <f t="shared" si="86"/>
        <v>0</v>
      </c>
      <c r="M475" s="7" t="s">
        <v>46</v>
      </c>
      <c r="U475" s="8"/>
    </row>
    <row r="476" spans="1:21" x14ac:dyDescent="0.3">
      <c r="A476" s="101" t="s">
        <v>836</v>
      </c>
      <c r="B476" t="s">
        <v>45</v>
      </c>
      <c r="C476" t="s">
        <v>30</v>
      </c>
      <c r="D476" s="70"/>
      <c r="E476" s="70"/>
      <c r="F476" s="10">
        <v>0</v>
      </c>
      <c r="G476" s="26">
        <v>1200</v>
      </c>
      <c r="H476" s="27">
        <v>0</v>
      </c>
      <c r="I476" s="26">
        <f t="shared" si="84"/>
        <v>0</v>
      </c>
      <c r="J476" s="25">
        <f t="shared" si="85"/>
        <v>1</v>
      </c>
      <c r="K476" s="24">
        <f t="shared" si="86"/>
        <v>0</v>
      </c>
      <c r="M476" s="7" t="s">
        <v>44</v>
      </c>
      <c r="U476" s="8"/>
    </row>
    <row r="477" spans="1:21" x14ac:dyDescent="0.3">
      <c r="A477" s="101" t="s">
        <v>836</v>
      </c>
      <c r="C477" s="14"/>
      <c r="D477" s="70"/>
      <c r="E477" s="70"/>
      <c r="F477" s="10"/>
      <c r="G477" s="14"/>
      <c r="H477" s="14"/>
      <c r="I477" s="14"/>
      <c r="J477" s="14"/>
      <c r="K477" s="22"/>
      <c r="M477" s="7"/>
      <c r="U477" s="8"/>
    </row>
    <row r="478" spans="1:21" x14ac:dyDescent="0.3">
      <c r="A478" s="101" t="s">
        <v>836</v>
      </c>
      <c r="B478" t="s">
        <v>628</v>
      </c>
      <c r="C478" t="s">
        <v>30</v>
      </c>
      <c r="D478" s="70"/>
      <c r="E478" s="70"/>
      <c r="F478" s="10">
        <v>0</v>
      </c>
      <c r="G478" s="26">
        <v>7.15</v>
      </c>
      <c r="H478" s="27">
        <v>0</v>
      </c>
      <c r="I478" s="26">
        <f t="shared" ref="I478:I489" si="87">(G478*(100%-H478))*F478</f>
        <v>0</v>
      </c>
      <c r="J478" s="25">
        <f t="shared" ref="J478:J489" si="88">$K$5</f>
        <v>1</v>
      </c>
      <c r="K478" s="24">
        <f t="shared" ref="K478:K489" si="89">I478/$K$5</f>
        <v>0</v>
      </c>
      <c r="M478" s="7"/>
      <c r="U478" s="8"/>
    </row>
    <row r="479" spans="1:21" x14ac:dyDescent="0.3">
      <c r="A479" s="101" t="s">
        <v>836</v>
      </c>
      <c r="B479" t="s">
        <v>629</v>
      </c>
      <c r="C479" t="s">
        <v>30</v>
      </c>
      <c r="D479" s="70"/>
      <c r="E479" s="70"/>
      <c r="F479" s="10">
        <v>0</v>
      </c>
      <c r="G479" s="26">
        <v>7.59</v>
      </c>
      <c r="H479" s="27">
        <v>0</v>
      </c>
      <c r="I479" s="26">
        <f t="shared" si="87"/>
        <v>0</v>
      </c>
      <c r="J479" s="25">
        <f t="shared" si="88"/>
        <v>1</v>
      </c>
      <c r="K479" s="24">
        <f t="shared" si="89"/>
        <v>0</v>
      </c>
      <c r="M479" s="23" t="s">
        <v>43</v>
      </c>
      <c r="U479" s="8"/>
    </row>
    <row r="480" spans="1:21" x14ac:dyDescent="0.3">
      <c r="A480" s="101" t="s">
        <v>836</v>
      </c>
      <c r="B480" t="s">
        <v>630</v>
      </c>
      <c r="C480" t="s">
        <v>30</v>
      </c>
      <c r="D480" s="70"/>
      <c r="E480" s="70"/>
      <c r="F480" s="10">
        <v>0</v>
      </c>
      <c r="G480" s="26">
        <v>8.4700000000000006</v>
      </c>
      <c r="H480" s="27">
        <v>0</v>
      </c>
      <c r="I480" s="26">
        <f t="shared" si="87"/>
        <v>0</v>
      </c>
      <c r="J480" s="25">
        <f t="shared" si="88"/>
        <v>1</v>
      </c>
      <c r="K480" s="24">
        <f t="shared" si="89"/>
        <v>0</v>
      </c>
      <c r="M480" s="7"/>
      <c r="U480" s="8"/>
    </row>
    <row r="481" spans="1:21" x14ac:dyDescent="0.3">
      <c r="A481" s="101" t="s">
        <v>836</v>
      </c>
      <c r="B481" t="s">
        <v>631</v>
      </c>
      <c r="C481" t="s">
        <v>30</v>
      </c>
      <c r="D481" s="70"/>
      <c r="E481" s="70"/>
      <c r="F481" s="10">
        <v>0</v>
      </c>
      <c r="G481" s="26">
        <v>14.74</v>
      </c>
      <c r="H481" s="27">
        <v>0</v>
      </c>
      <c r="I481" s="26">
        <f t="shared" si="87"/>
        <v>0</v>
      </c>
      <c r="J481" s="25">
        <f t="shared" si="88"/>
        <v>1</v>
      </c>
      <c r="K481" s="24">
        <f t="shared" si="89"/>
        <v>0</v>
      </c>
      <c r="M481" s="7" t="s">
        <v>42</v>
      </c>
      <c r="U481" s="8"/>
    </row>
    <row r="482" spans="1:21" x14ac:dyDescent="0.3">
      <c r="A482" s="101" t="s">
        <v>836</v>
      </c>
      <c r="B482" t="s">
        <v>632</v>
      </c>
      <c r="C482" t="s">
        <v>30</v>
      </c>
      <c r="D482" s="70"/>
      <c r="E482" s="70"/>
      <c r="F482" s="10">
        <v>0</v>
      </c>
      <c r="G482" s="26">
        <v>22.33</v>
      </c>
      <c r="H482" s="27">
        <v>0</v>
      </c>
      <c r="I482" s="26">
        <f t="shared" si="87"/>
        <v>0</v>
      </c>
      <c r="J482" s="25">
        <f t="shared" si="88"/>
        <v>1</v>
      </c>
      <c r="K482" s="24">
        <f t="shared" si="89"/>
        <v>0</v>
      </c>
      <c r="M482" s="7" t="s">
        <v>41</v>
      </c>
      <c r="U482" s="8"/>
    </row>
    <row r="483" spans="1:21" x14ac:dyDescent="0.3">
      <c r="A483" s="101" t="s">
        <v>836</v>
      </c>
      <c r="B483" t="s">
        <v>633</v>
      </c>
      <c r="C483" t="s">
        <v>30</v>
      </c>
      <c r="D483" s="70"/>
      <c r="E483" s="70"/>
      <c r="F483" s="10">
        <v>0</v>
      </c>
      <c r="G483" s="26">
        <v>34.979999999999997</v>
      </c>
      <c r="H483" s="27">
        <v>0</v>
      </c>
      <c r="I483" s="26">
        <f t="shared" si="87"/>
        <v>0</v>
      </c>
      <c r="J483" s="25">
        <f t="shared" si="88"/>
        <v>1</v>
      </c>
      <c r="K483" s="24">
        <f t="shared" si="89"/>
        <v>0</v>
      </c>
      <c r="M483" s="7" t="s">
        <v>817</v>
      </c>
      <c r="U483" s="8"/>
    </row>
    <row r="484" spans="1:21" x14ac:dyDescent="0.3">
      <c r="A484" s="101" t="s">
        <v>836</v>
      </c>
      <c r="B484" t="s">
        <v>634</v>
      </c>
      <c r="C484" t="s">
        <v>30</v>
      </c>
      <c r="D484" s="70"/>
      <c r="E484" s="70"/>
      <c r="F484" s="10">
        <v>0</v>
      </c>
      <c r="G484" s="26">
        <v>49.39</v>
      </c>
      <c r="H484" s="27">
        <v>0</v>
      </c>
      <c r="I484" s="26">
        <f t="shared" si="87"/>
        <v>0</v>
      </c>
      <c r="J484" s="25">
        <f t="shared" si="88"/>
        <v>1</v>
      </c>
      <c r="K484" s="24">
        <f t="shared" si="89"/>
        <v>0</v>
      </c>
      <c r="M484" s="7" t="s">
        <v>818</v>
      </c>
      <c r="U484" s="8"/>
    </row>
    <row r="485" spans="1:21" x14ac:dyDescent="0.3">
      <c r="A485" s="101" t="s">
        <v>836</v>
      </c>
      <c r="B485" t="s">
        <v>635</v>
      </c>
      <c r="C485" t="s">
        <v>30</v>
      </c>
      <c r="D485" s="70"/>
      <c r="E485" s="70"/>
      <c r="F485" s="10">
        <v>0</v>
      </c>
      <c r="G485" s="26">
        <v>67.209999999999994</v>
      </c>
      <c r="H485" s="27">
        <v>0</v>
      </c>
      <c r="I485" s="26">
        <f t="shared" si="87"/>
        <v>0</v>
      </c>
      <c r="J485" s="25">
        <f t="shared" si="88"/>
        <v>1</v>
      </c>
      <c r="K485" s="24">
        <f t="shared" si="89"/>
        <v>0</v>
      </c>
      <c r="M485" s="7" t="s">
        <v>819</v>
      </c>
      <c r="U485" s="8"/>
    </row>
    <row r="486" spans="1:21" x14ac:dyDescent="0.3">
      <c r="A486" s="101" t="s">
        <v>836</v>
      </c>
      <c r="B486" t="s">
        <v>636</v>
      </c>
      <c r="C486" t="s">
        <v>30</v>
      </c>
      <c r="D486" s="70"/>
      <c r="E486" s="70"/>
      <c r="F486" s="10">
        <v>0</v>
      </c>
      <c r="G486" s="26">
        <v>96.69</v>
      </c>
      <c r="H486" s="27">
        <v>0</v>
      </c>
      <c r="I486" s="26">
        <f t="shared" si="87"/>
        <v>0</v>
      </c>
      <c r="J486" s="25">
        <f t="shared" si="88"/>
        <v>1</v>
      </c>
      <c r="K486" s="24">
        <f t="shared" si="89"/>
        <v>0</v>
      </c>
      <c r="M486" s="7" t="s">
        <v>820</v>
      </c>
      <c r="U486" s="8"/>
    </row>
    <row r="487" spans="1:21" x14ac:dyDescent="0.3">
      <c r="A487" s="101" t="s">
        <v>836</v>
      </c>
      <c r="B487" t="s">
        <v>637</v>
      </c>
      <c r="C487" t="s">
        <v>30</v>
      </c>
      <c r="D487" s="70"/>
      <c r="E487" s="70"/>
      <c r="F487" s="10">
        <v>0</v>
      </c>
      <c r="G487" s="26">
        <v>139.15</v>
      </c>
      <c r="H487" s="27">
        <v>0</v>
      </c>
      <c r="I487" s="26">
        <f t="shared" si="87"/>
        <v>0</v>
      </c>
      <c r="J487" s="25">
        <f t="shared" si="88"/>
        <v>1</v>
      </c>
      <c r="K487" s="24">
        <f t="shared" si="89"/>
        <v>0</v>
      </c>
      <c r="M487" s="7" t="s">
        <v>823</v>
      </c>
      <c r="S487">
        <v>2</v>
      </c>
      <c r="T487">
        <v>181.5</v>
      </c>
      <c r="U487" s="8">
        <f>T487*S487</f>
        <v>363</v>
      </c>
    </row>
    <row r="488" spans="1:21" x14ac:dyDescent="0.3">
      <c r="A488" s="101" t="s">
        <v>836</v>
      </c>
      <c r="B488" t="s">
        <v>638</v>
      </c>
      <c r="C488" t="s">
        <v>30</v>
      </c>
      <c r="D488" s="70"/>
      <c r="E488" s="70"/>
      <c r="F488" s="10">
        <v>0</v>
      </c>
      <c r="G488" s="26">
        <v>168.08</v>
      </c>
      <c r="H488" s="27">
        <v>0</v>
      </c>
      <c r="I488" s="26">
        <f t="shared" si="87"/>
        <v>0</v>
      </c>
      <c r="J488" s="25">
        <f t="shared" si="88"/>
        <v>1</v>
      </c>
      <c r="K488" s="24">
        <f t="shared" si="89"/>
        <v>0</v>
      </c>
      <c r="M488" s="7" t="s">
        <v>822</v>
      </c>
      <c r="U488" s="8"/>
    </row>
    <row r="489" spans="1:21" x14ac:dyDescent="0.3">
      <c r="A489" s="101" t="s">
        <v>836</v>
      </c>
      <c r="B489" t="s">
        <v>639</v>
      </c>
      <c r="C489" t="s">
        <v>30</v>
      </c>
      <c r="D489" s="200"/>
      <c r="E489" s="70"/>
      <c r="F489" s="10">
        <v>0</v>
      </c>
      <c r="G489" s="26">
        <v>258.39</v>
      </c>
      <c r="H489" s="27">
        <v>0</v>
      </c>
      <c r="I489" s="26">
        <f t="shared" si="87"/>
        <v>0</v>
      </c>
      <c r="J489" s="25">
        <f t="shared" si="88"/>
        <v>1</v>
      </c>
      <c r="K489" s="24">
        <f t="shared" si="89"/>
        <v>0</v>
      </c>
      <c r="M489" s="7" t="s">
        <v>821</v>
      </c>
      <c r="U489" s="8"/>
    </row>
    <row r="490" spans="1:21" x14ac:dyDescent="0.3">
      <c r="A490" s="101" t="s">
        <v>836</v>
      </c>
      <c r="B490" s="41"/>
      <c r="C490" s="40"/>
      <c r="D490" s="200"/>
      <c r="E490" s="70"/>
      <c r="F490" s="10"/>
      <c r="G490" s="26"/>
      <c r="H490" s="27"/>
      <c r="I490" s="26"/>
      <c r="J490" s="25"/>
      <c r="K490" s="24"/>
      <c r="M490" s="7" t="s">
        <v>824</v>
      </c>
      <c r="U490" s="8"/>
    </row>
    <row r="491" spans="1:21" x14ac:dyDescent="0.3">
      <c r="A491" s="101" t="s">
        <v>836</v>
      </c>
      <c r="B491" t="s">
        <v>595</v>
      </c>
      <c r="C491" t="s">
        <v>30</v>
      </c>
      <c r="D491" s="200" t="s">
        <v>596</v>
      </c>
      <c r="E491" s="70"/>
      <c r="F491" s="10">
        <v>0</v>
      </c>
      <c r="G491" s="61">
        <v>38</v>
      </c>
      <c r="H491" s="27">
        <v>0</v>
      </c>
      <c r="I491" s="26">
        <f>(G491*(100%-H491))*F491</f>
        <v>0</v>
      </c>
      <c r="J491" s="25">
        <f>$K$5</f>
        <v>1</v>
      </c>
      <c r="K491" s="24">
        <f>I491/$K$5</f>
        <v>0</v>
      </c>
      <c r="M491" s="7" t="s">
        <v>825</v>
      </c>
      <c r="U491" s="8"/>
    </row>
    <row r="492" spans="1:21" x14ac:dyDescent="0.3">
      <c r="A492" s="101" t="s">
        <v>836</v>
      </c>
      <c r="D492" s="200"/>
      <c r="E492" s="70"/>
      <c r="F492" s="10"/>
      <c r="G492" s="26"/>
      <c r="H492" s="27"/>
      <c r="I492" s="26"/>
      <c r="J492" s="25"/>
      <c r="K492" s="24"/>
      <c r="M492" s="7"/>
      <c r="U492" s="8"/>
    </row>
    <row r="493" spans="1:21" x14ac:dyDescent="0.3">
      <c r="A493" s="101" t="s">
        <v>836</v>
      </c>
      <c r="B493" t="s">
        <v>40</v>
      </c>
      <c r="C493" t="s">
        <v>39</v>
      </c>
      <c r="D493" s="200"/>
      <c r="E493" s="70"/>
      <c r="F493" s="10">
        <v>0</v>
      </c>
      <c r="G493" s="26">
        <v>1000</v>
      </c>
      <c r="H493" s="27">
        <v>0</v>
      </c>
      <c r="I493" s="26">
        <f>(G493*(100%-H493))*F493</f>
        <v>0</v>
      </c>
      <c r="J493" s="25">
        <f>$K$5</f>
        <v>1</v>
      </c>
      <c r="K493" s="24">
        <f>I493/$K$5</f>
        <v>0</v>
      </c>
      <c r="M493" s="7" t="s">
        <v>825</v>
      </c>
      <c r="U493" s="8"/>
    </row>
    <row r="494" spans="1:21" x14ac:dyDescent="0.3">
      <c r="A494" s="101" t="s">
        <v>836</v>
      </c>
      <c r="B494" s="39"/>
      <c r="D494" s="200"/>
      <c r="E494" s="70"/>
      <c r="F494" s="10"/>
      <c r="G494" s="26"/>
      <c r="H494" s="27"/>
      <c r="I494" s="26"/>
      <c r="J494" s="25"/>
      <c r="K494" s="24"/>
      <c r="M494" s="7" t="s">
        <v>826</v>
      </c>
      <c r="U494" s="8"/>
    </row>
    <row r="495" spans="1:21" x14ac:dyDescent="0.3">
      <c r="A495" s="101" t="s">
        <v>836</v>
      </c>
      <c r="B495" s="38" t="s">
        <v>38</v>
      </c>
      <c r="C495" t="s">
        <v>30</v>
      </c>
      <c r="D495" s="200"/>
      <c r="E495" s="70"/>
      <c r="F495" s="10">
        <v>0</v>
      </c>
      <c r="G495" s="26">
        <v>9.9</v>
      </c>
      <c r="H495" s="27">
        <v>0</v>
      </c>
      <c r="I495" s="26">
        <f>(G495*(100%-H495))*F495</f>
        <v>0</v>
      </c>
      <c r="J495" s="25">
        <f>$K$5</f>
        <v>1</v>
      </c>
      <c r="K495" s="24">
        <f>I495/$K$5</f>
        <v>0</v>
      </c>
      <c r="M495" s="7" t="s">
        <v>827</v>
      </c>
      <c r="U495" s="8"/>
    </row>
    <row r="496" spans="1:21" x14ac:dyDescent="0.3">
      <c r="A496" s="101" t="s">
        <v>836</v>
      </c>
      <c r="B496" s="38"/>
      <c r="D496" s="200"/>
      <c r="E496" s="70"/>
      <c r="F496" s="10"/>
      <c r="G496" s="26"/>
      <c r="H496" s="27"/>
      <c r="I496" s="26"/>
      <c r="J496" s="25"/>
      <c r="K496" s="24"/>
      <c r="M496" s="7" t="s">
        <v>828</v>
      </c>
      <c r="U496" s="8"/>
    </row>
    <row r="497" spans="1:21" x14ac:dyDescent="0.3">
      <c r="A497" s="101" t="s">
        <v>836</v>
      </c>
      <c r="B497" s="38" t="s">
        <v>37</v>
      </c>
      <c r="C497" t="s">
        <v>30</v>
      </c>
      <c r="D497" s="200"/>
      <c r="E497" s="70"/>
      <c r="F497" s="10">
        <v>0</v>
      </c>
      <c r="G497" s="26">
        <v>240</v>
      </c>
      <c r="H497" s="27">
        <v>0</v>
      </c>
      <c r="I497" s="26">
        <f>(G497*(100%-H497))*F497</f>
        <v>0</v>
      </c>
      <c r="J497" s="25">
        <f>$K$5</f>
        <v>1</v>
      </c>
      <c r="K497" s="24">
        <f>I497/$K$5</f>
        <v>0</v>
      </c>
      <c r="M497" s="7" t="s">
        <v>829</v>
      </c>
      <c r="U497" s="8"/>
    </row>
    <row r="498" spans="1:21" x14ac:dyDescent="0.3">
      <c r="A498" s="101" t="s">
        <v>836</v>
      </c>
      <c r="B498" s="38" t="s">
        <v>37</v>
      </c>
      <c r="C498" t="s">
        <v>30</v>
      </c>
      <c r="D498" s="200"/>
      <c r="E498" s="70"/>
      <c r="F498" s="10">
        <v>5</v>
      </c>
      <c r="G498" s="26">
        <v>3.95</v>
      </c>
      <c r="H498" s="27">
        <v>0</v>
      </c>
      <c r="I498" s="26">
        <f>(G498*(100%-H498))*F498</f>
        <v>19.75</v>
      </c>
      <c r="J498" s="25">
        <f>$K$5</f>
        <v>1</v>
      </c>
      <c r="K498" s="24">
        <f>I498/$K$5</f>
        <v>19.75</v>
      </c>
      <c r="M498" s="7"/>
      <c r="U498" s="8"/>
    </row>
    <row r="499" spans="1:21" x14ac:dyDescent="0.3">
      <c r="A499" s="101" t="s">
        <v>836</v>
      </c>
      <c r="B499" s="38" t="s">
        <v>36</v>
      </c>
      <c r="C499" t="s">
        <v>30</v>
      </c>
      <c r="D499" s="200"/>
      <c r="E499" s="70"/>
      <c r="F499" s="10">
        <v>0</v>
      </c>
      <c r="G499" s="26">
        <v>25</v>
      </c>
      <c r="H499" s="27">
        <v>0</v>
      </c>
      <c r="I499" s="26">
        <f>(G499*(100%-H499))*F499</f>
        <v>0</v>
      </c>
      <c r="J499" s="25">
        <f>$K$5</f>
        <v>1</v>
      </c>
      <c r="K499" s="24">
        <f>I499/$K$5</f>
        <v>0</v>
      </c>
      <c r="M499" s="23" t="s">
        <v>35</v>
      </c>
      <c r="U499" s="8"/>
    </row>
    <row r="500" spans="1:21" x14ac:dyDescent="0.3">
      <c r="A500" s="101" t="s">
        <v>836</v>
      </c>
      <c r="B500" s="38" t="s">
        <v>34</v>
      </c>
      <c r="C500" t="s">
        <v>30</v>
      </c>
      <c r="D500" s="200"/>
      <c r="E500" s="70"/>
      <c r="F500" s="10">
        <v>0</v>
      </c>
      <c r="G500" s="26">
        <v>18.8</v>
      </c>
      <c r="H500" s="27">
        <v>0</v>
      </c>
      <c r="I500" s="26">
        <f>(G500*(100%-H500))*F500</f>
        <v>0</v>
      </c>
      <c r="J500" s="25">
        <f>$K$5</f>
        <v>1</v>
      </c>
      <c r="K500" s="24">
        <f>I500/$K$5</f>
        <v>0</v>
      </c>
      <c r="M500" s="23" t="s">
        <v>33</v>
      </c>
      <c r="U500" s="8" t="s">
        <v>32</v>
      </c>
    </row>
    <row r="501" spans="1:21" x14ac:dyDescent="0.3">
      <c r="A501" s="101" t="s">
        <v>836</v>
      </c>
      <c r="B501" s="38" t="s">
        <v>31</v>
      </c>
      <c r="C501" t="s">
        <v>30</v>
      </c>
      <c r="D501" s="200"/>
      <c r="E501" s="70"/>
      <c r="F501" s="10">
        <v>0</v>
      </c>
      <c r="G501" s="26">
        <v>20.3</v>
      </c>
      <c r="H501" s="27">
        <v>0</v>
      </c>
      <c r="I501" s="26">
        <f>(G501*(100%-H501))*F501</f>
        <v>0</v>
      </c>
      <c r="J501" s="25">
        <f>$K$5</f>
        <v>1</v>
      </c>
      <c r="K501" s="24">
        <f>I501/$K$5</f>
        <v>0</v>
      </c>
      <c r="M501" s="7"/>
      <c r="U501" s="8"/>
    </row>
    <row r="502" spans="1:21" x14ac:dyDescent="0.3">
      <c r="A502" s="101" t="s">
        <v>836</v>
      </c>
      <c r="B502" s="38"/>
      <c r="D502" s="200"/>
      <c r="E502" s="70"/>
      <c r="F502" s="10"/>
      <c r="G502" s="26"/>
      <c r="H502" s="27"/>
      <c r="I502" s="26"/>
      <c r="J502" s="27"/>
      <c r="K502" s="24"/>
      <c r="M502" s="7" t="s">
        <v>29</v>
      </c>
      <c r="S502">
        <v>50</v>
      </c>
      <c r="T502">
        <v>7.92</v>
      </c>
      <c r="U502" s="8">
        <f>S502*T502</f>
        <v>396</v>
      </c>
    </row>
    <row r="503" spans="1:21" x14ac:dyDescent="0.3">
      <c r="A503" s="101" t="s">
        <v>836</v>
      </c>
      <c r="B503" s="28" t="s">
        <v>152</v>
      </c>
      <c r="C503" s="92" t="s">
        <v>104</v>
      </c>
      <c r="D503" s="197" t="s">
        <v>153</v>
      </c>
      <c r="E503" s="174"/>
      <c r="F503" s="10">
        <v>0</v>
      </c>
      <c r="G503" s="62">
        <v>160</v>
      </c>
      <c r="H503" s="27">
        <v>0</v>
      </c>
      <c r="I503" s="26">
        <f>(G503*(100%-H503))*F503</f>
        <v>0</v>
      </c>
      <c r="J503" s="25">
        <f>$K$5</f>
        <v>1</v>
      </c>
      <c r="K503" s="24">
        <f>I503/$K$5</f>
        <v>0</v>
      </c>
    </row>
    <row r="504" spans="1:21" x14ac:dyDescent="0.3">
      <c r="A504" s="101" t="s">
        <v>836</v>
      </c>
      <c r="B504" s="28" t="s">
        <v>152</v>
      </c>
      <c r="C504" s="92" t="s">
        <v>104</v>
      </c>
      <c r="D504" s="197" t="s">
        <v>151</v>
      </c>
      <c r="E504" s="174"/>
      <c r="F504" s="10">
        <v>0</v>
      </c>
      <c r="G504" s="62">
        <v>320</v>
      </c>
      <c r="H504" s="27">
        <v>0</v>
      </c>
      <c r="I504" s="26">
        <f>(G504*(100%-H504))*F504</f>
        <v>0</v>
      </c>
      <c r="J504" s="25">
        <f>$K$5</f>
        <v>1</v>
      </c>
      <c r="K504" s="24">
        <f>I504/$K$5</f>
        <v>0</v>
      </c>
    </row>
    <row r="505" spans="1:21" x14ac:dyDescent="0.3">
      <c r="A505" s="101" t="s">
        <v>836</v>
      </c>
      <c r="B505" s="28" t="s">
        <v>150</v>
      </c>
      <c r="C505" s="92" t="s">
        <v>104</v>
      </c>
      <c r="D505" s="197" t="s">
        <v>597</v>
      </c>
      <c r="E505" s="174"/>
      <c r="F505" s="10">
        <v>0</v>
      </c>
      <c r="G505" s="62">
        <v>550</v>
      </c>
      <c r="H505" s="27">
        <v>0</v>
      </c>
      <c r="I505" s="26">
        <f>(G505*(100%-H505))*F505</f>
        <v>0</v>
      </c>
      <c r="J505" s="25">
        <f>$K$5</f>
        <v>1</v>
      </c>
      <c r="K505" s="24">
        <f>I505/$K$5</f>
        <v>0</v>
      </c>
    </row>
    <row r="506" spans="1:21" x14ac:dyDescent="0.3">
      <c r="A506" s="101" t="s">
        <v>836</v>
      </c>
      <c r="B506" s="28"/>
      <c r="C506" s="92"/>
      <c r="D506" s="92"/>
      <c r="E506" s="92"/>
      <c r="F506" s="10"/>
      <c r="G506" s="62"/>
      <c r="H506" s="27"/>
      <c r="I506" s="26"/>
      <c r="J506" s="25"/>
      <c r="K506" s="24"/>
    </row>
    <row r="507" spans="1:21" ht="18.600000000000001" thickBot="1" x14ac:dyDescent="0.35">
      <c r="A507" s="101" t="s">
        <v>836</v>
      </c>
      <c r="B507" s="37"/>
      <c r="C507" s="20"/>
      <c r="D507" s="2"/>
      <c r="E507" s="2"/>
      <c r="F507" s="20"/>
      <c r="G507" s="20"/>
      <c r="H507" s="19" t="s">
        <v>9</v>
      </c>
      <c r="I507" s="18">
        <f>SUM(I463:I506)</f>
        <v>119.75</v>
      </c>
      <c r="J507" s="17"/>
      <c r="K507" s="16">
        <f>SUM(K463:K505)</f>
        <v>119.75</v>
      </c>
      <c r="M507" s="7" t="s">
        <v>26</v>
      </c>
      <c r="S507">
        <v>50</v>
      </c>
      <c r="T507">
        <v>5.5</v>
      </c>
      <c r="U507" s="8">
        <f>S507*T507</f>
        <v>275</v>
      </c>
    </row>
    <row r="508" spans="1:21" x14ac:dyDescent="0.3">
      <c r="A508" s="101" t="s">
        <v>836</v>
      </c>
      <c r="B508" s="303" t="s">
        <v>593</v>
      </c>
      <c r="C508" s="304"/>
      <c r="D508" s="304"/>
      <c r="E508" s="304"/>
      <c r="F508" s="304"/>
      <c r="G508" s="304"/>
      <c r="H508" s="304"/>
      <c r="I508" s="304"/>
      <c r="J508" s="304"/>
      <c r="K508" s="305"/>
      <c r="M508" s="7" t="s">
        <v>24</v>
      </c>
      <c r="U508" s="8"/>
    </row>
    <row r="509" spans="1:21" ht="15" thickBot="1" x14ac:dyDescent="0.35">
      <c r="A509" s="101" t="s">
        <v>836</v>
      </c>
      <c r="B509" s="306"/>
      <c r="C509" s="307"/>
      <c r="D509" s="307"/>
      <c r="E509" s="307"/>
      <c r="F509" s="307"/>
      <c r="G509" s="307"/>
      <c r="H509" s="307"/>
      <c r="I509" s="307"/>
      <c r="J509" s="307"/>
      <c r="K509" s="308"/>
      <c r="M509" s="7" t="s">
        <v>23</v>
      </c>
      <c r="U509" s="8"/>
    </row>
    <row r="510" spans="1:21" x14ac:dyDescent="0.3">
      <c r="A510" s="101" t="s">
        <v>836</v>
      </c>
      <c r="B510" s="72"/>
      <c r="C510" s="73"/>
      <c r="D510" s="73"/>
      <c r="E510" s="73"/>
      <c r="F510" s="74"/>
      <c r="G510" s="75"/>
      <c r="H510" s="76"/>
      <c r="I510" s="75"/>
      <c r="J510" s="77"/>
      <c r="K510" s="78"/>
      <c r="M510" s="23"/>
      <c r="U510" s="8"/>
    </row>
    <row r="511" spans="1:21" x14ac:dyDescent="0.3">
      <c r="A511" s="101" t="s">
        <v>836</v>
      </c>
      <c r="B511" s="28" t="s">
        <v>598</v>
      </c>
      <c r="C511" s="88" t="s">
        <v>599</v>
      </c>
      <c r="D511" s="57"/>
      <c r="E511" s="57"/>
      <c r="F511" s="10">
        <v>0</v>
      </c>
      <c r="G511" s="26">
        <v>15480</v>
      </c>
      <c r="H511" s="27">
        <v>0</v>
      </c>
      <c r="I511" s="26">
        <f>(G511*(100%-H511))*F511</f>
        <v>0</v>
      </c>
      <c r="J511" s="25">
        <f>$K$5</f>
        <v>1</v>
      </c>
      <c r="K511" s="24">
        <f>I511/$K$5</f>
        <v>0</v>
      </c>
      <c r="M511" s="7" t="s">
        <v>26</v>
      </c>
      <c r="S511">
        <v>50</v>
      </c>
      <c r="T511">
        <v>5.5</v>
      </c>
      <c r="U511" s="8">
        <f>S511*T511</f>
        <v>275</v>
      </c>
    </row>
    <row r="512" spans="1:21" x14ac:dyDescent="0.3">
      <c r="A512" s="101" t="s">
        <v>836</v>
      </c>
      <c r="B512" s="28" t="s">
        <v>453</v>
      </c>
      <c r="C512" s="88" t="s">
        <v>599</v>
      </c>
      <c r="D512" s="57"/>
      <c r="E512" s="57"/>
      <c r="F512" s="10">
        <v>0</v>
      </c>
      <c r="G512" s="26">
        <v>12380</v>
      </c>
      <c r="H512" s="27">
        <v>0</v>
      </c>
      <c r="I512" s="26">
        <f>(G512*(100%-H512))*F512</f>
        <v>0</v>
      </c>
      <c r="J512" s="25">
        <f>$K$5</f>
        <v>1</v>
      </c>
      <c r="K512" s="24">
        <f>I512/$K$5</f>
        <v>0</v>
      </c>
      <c r="M512" s="7" t="s">
        <v>24</v>
      </c>
      <c r="U512" s="8"/>
    </row>
    <row r="513" spans="1:21" x14ac:dyDescent="0.3">
      <c r="A513" s="101" t="s">
        <v>836</v>
      </c>
      <c r="B513" s="28" t="s">
        <v>594</v>
      </c>
      <c r="C513" s="88" t="s">
        <v>600</v>
      </c>
      <c r="D513" s="57"/>
      <c r="E513" s="57"/>
      <c r="F513" s="10">
        <v>0</v>
      </c>
      <c r="G513" s="26">
        <v>550</v>
      </c>
      <c r="H513" s="27">
        <v>0</v>
      </c>
      <c r="I513" s="26">
        <f>(G513*(100%-H513))*F513</f>
        <v>0</v>
      </c>
      <c r="J513" s="25">
        <f>$K$5</f>
        <v>1</v>
      </c>
      <c r="K513" s="24">
        <f>I513/$K$5</f>
        <v>0</v>
      </c>
      <c r="M513" s="7" t="s">
        <v>24</v>
      </c>
      <c r="U513" s="8"/>
    </row>
    <row r="514" spans="1:21" x14ac:dyDescent="0.3">
      <c r="A514" s="101" t="s">
        <v>836</v>
      </c>
      <c r="B514" s="28"/>
      <c r="C514" s="10"/>
      <c r="D514" s="57"/>
      <c r="E514" s="57"/>
      <c r="F514" s="10"/>
      <c r="G514" s="26"/>
      <c r="H514" s="27"/>
      <c r="I514" s="26"/>
      <c r="J514" s="25"/>
      <c r="K514" s="24"/>
      <c r="M514" s="7" t="s">
        <v>23</v>
      </c>
      <c r="U514" s="8"/>
    </row>
    <row r="515" spans="1:21" x14ac:dyDescent="0.3">
      <c r="A515" s="101" t="s">
        <v>836</v>
      </c>
      <c r="B515" s="28" t="s">
        <v>674</v>
      </c>
      <c r="C515" s="88" t="s">
        <v>71</v>
      </c>
      <c r="D515" s="57"/>
      <c r="E515" s="57"/>
      <c r="F515" s="10">
        <v>0</v>
      </c>
      <c r="G515" s="26">
        <v>240000</v>
      </c>
      <c r="H515" s="27">
        <v>0</v>
      </c>
      <c r="I515" s="26">
        <f>(G515*(100%-H515))*F515</f>
        <v>0</v>
      </c>
      <c r="J515" s="25">
        <f>$K$5</f>
        <v>1</v>
      </c>
      <c r="K515" s="24">
        <f>I515/$K$5</f>
        <v>0</v>
      </c>
      <c r="M515" s="7" t="s">
        <v>26</v>
      </c>
      <c r="S515">
        <v>50</v>
      </c>
      <c r="T515">
        <v>5.5</v>
      </c>
      <c r="U515" s="8">
        <f>S515*T515</f>
        <v>275</v>
      </c>
    </row>
    <row r="516" spans="1:21" x14ac:dyDescent="0.3">
      <c r="A516" s="101" t="s">
        <v>836</v>
      </c>
      <c r="B516" s="28" t="s">
        <v>675</v>
      </c>
      <c r="C516" s="88" t="s">
        <v>71</v>
      </c>
      <c r="D516" s="57"/>
      <c r="E516" s="57"/>
      <c r="F516" s="10">
        <v>0</v>
      </c>
      <c r="G516" s="26">
        <v>120000</v>
      </c>
      <c r="H516" s="27">
        <v>0</v>
      </c>
      <c r="I516" s="26">
        <f>(G516*(100%-H516))*F516</f>
        <v>0</v>
      </c>
      <c r="J516" s="25">
        <f>$K$5</f>
        <v>1</v>
      </c>
      <c r="K516" s="24">
        <f>I516/$K$5</f>
        <v>0</v>
      </c>
      <c r="M516" s="7" t="s">
        <v>26</v>
      </c>
      <c r="S516">
        <v>50</v>
      </c>
      <c r="T516">
        <v>5.5</v>
      </c>
      <c r="U516" s="8">
        <f>S516*T516</f>
        <v>275</v>
      </c>
    </row>
    <row r="517" spans="1:21" x14ac:dyDescent="0.3">
      <c r="A517" s="101" t="s">
        <v>836</v>
      </c>
      <c r="B517" s="28" t="s">
        <v>594</v>
      </c>
      <c r="C517" s="88" t="s">
        <v>600</v>
      </c>
      <c r="D517" s="57"/>
      <c r="E517" s="57"/>
      <c r="F517" s="10">
        <v>0</v>
      </c>
      <c r="G517" s="26">
        <v>550</v>
      </c>
      <c r="H517" s="27">
        <v>0</v>
      </c>
      <c r="I517" s="26">
        <f>(G517*(100%-H517))*F517</f>
        <v>0</v>
      </c>
      <c r="J517" s="25">
        <f>$K$5</f>
        <v>1</v>
      </c>
      <c r="K517" s="24">
        <f>I517/$K$5</f>
        <v>0</v>
      </c>
      <c r="M517" s="7" t="s">
        <v>24</v>
      </c>
      <c r="U517" s="8"/>
    </row>
    <row r="518" spans="1:21" x14ac:dyDescent="0.3">
      <c r="A518" s="101" t="s">
        <v>836</v>
      </c>
      <c r="B518" s="28"/>
      <c r="C518" s="88"/>
      <c r="D518" s="57"/>
      <c r="E518" s="57"/>
      <c r="F518" s="10"/>
      <c r="G518" s="26"/>
      <c r="H518" s="27"/>
      <c r="I518" s="26"/>
      <c r="J518" s="25"/>
      <c r="K518" s="24"/>
      <c r="M518" s="7"/>
      <c r="U518" s="8"/>
    </row>
    <row r="519" spans="1:21" x14ac:dyDescent="0.3">
      <c r="A519" s="101" t="s">
        <v>836</v>
      </c>
      <c r="B519" s="28" t="s">
        <v>815</v>
      </c>
      <c r="C519" s="88" t="s">
        <v>816</v>
      </c>
      <c r="D519" s="57"/>
      <c r="E519" s="57"/>
      <c r="F519" s="10">
        <v>0</v>
      </c>
      <c r="G519" s="26">
        <v>8500</v>
      </c>
      <c r="H519" s="27">
        <v>0</v>
      </c>
      <c r="I519" s="26">
        <f>(G519*(100%-H519))*F519</f>
        <v>0</v>
      </c>
      <c r="J519" s="25">
        <f>$K$5</f>
        <v>1</v>
      </c>
      <c r="K519" s="24">
        <f>I519/$K$5</f>
        <v>0</v>
      </c>
      <c r="M519" s="7" t="s">
        <v>26</v>
      </c>
      <c r="S519">
        <v>50</v>
      </c>
      <c r="T519">
        <v>5.5</v>
      </c>
      <c r="U519" s="8">
        <f>S519*T519</f>
        <v>275</v>
      </c>
    </row>
    <row r="520" spans="1:21" x14ac:dyDescent="0.3">
      <c r="A520" s="101" t="s">
        <v>836</v>
      </c>
      <c r="B520" s="28"/>
      <c r="C520" s="88"/>
      <c r="D520" s="57"/>
      <c r="E520" s="57"/>
      <c r="F520" s="10"/>
      <c r="G520" s="26"/>
      <c r="H520" s="27"/>
      <c r="I520" s="26"/>
      <c r="J520" s="25"/>
      <c r="K520" s="24"/>
      <c r="M520" s="7"/>
      <c r="U520" s="8"/>
    </row>
    <row r="521" spans="1:21" ht="18.600000000000001" thickBot="1" x14ac:dyDescent="0.35">
      <c r="A521" s="101" t="s">
        <v>836</v>
      </c>
      <c r="B521" s="37"/>
      <c r="C521" s="20"/>
      <c r="D521" s="2"/>
      <c r="E521" s="2"/>
      <c r="F521" s="20"/>
      <c r="G521" s="20"/>
      <c r="H521" s="19" t="s">
        <v>9</v>
      </c>
      <c r="I521" s="18">
        <f>SUM(I511:I519)</f>
        <v>0</v>
      </c>
      <c r="J521" s="17"/>
      <c r="K521" s="16">
        <f>SUM(K511:K519)</f>
        <v>0</v>
      </c>
      <c r="M521" s="23" t="s">
        <v>27</v>
      </c>
      <c r="U521" s="8"/>
    </row>
    <row r="522" spans="1:21" x14ac:dyDescent="0.3">
      <c r="A522" s="101" t="s">
        <v>836</v>
      </c>
      <c r="B522" s="303" t="s">
        <v>729</v>
      </c>
      <c r="C522" s="304"/>
      <c r="D522" s="304"/>
      <c r="E522" s="304"/>
      <c r="F522" s="304"/>
      <c r="G522" s="304"/>
      <c r="H522" s="304"/>
      <c r="I522" s="304"/>
      <c r="J522" s="304"/>
      <c r="K522" s="305"/>
      <c r="M522" s="23"/>
      <c r="U522" s="8"/>
    </row>
    <row r="523" spans="1:21" ht="15" thickBot="1" x14ac:dyDescent="0.35">
      <c r="A523" s="101" t="s">
        <v>836</v>
      </c>
      <c r="B523" s="306"/>
      <c r="C523" s="307"/>
      <c r="D523" s="307"/>
      <c r="E523" s="307"/>
      <c r="F523" s="307"/>
      <c r="G523" s="307"/>
      <c r="H523" s="307"/>
      <c r="I523" s="307"/>
      <c r="J523" s="307"/>
      <c r="K523" s="308"/>
      <c r="M523" s="23"/>
      <c r="U523" s="8"/>
    </row>
    <row r="524" spans="1:21" x14ac:dyDescent="0.3">
      <c r="A524" s="101" t="s">
        <v>836</v>
      </c>
      <c r="B524" s="28"/>
      <c r="C524" s="1"/>
      <c r="D524" s="58"/>
      <c r="E524" s="58"/>
      <c r="F524" s="10"/>
      <c r="G524" s="26"/>
      <c r="H524" s="27"/>
      <c r="I524" s="26"/>
      <c r="J524" s="25"/>
      <c r="K524" s="24"/>
      <c r="M524" s="7" t="s">
        <v>26</v>
      </c>
      <c r="S524">
        <v>50</v>
      </c>
      <c r="T524">
        <v>5.5</v>
      </c>
      <c r="U524" s="8">
        <f>S524*T524</f>
        <v>275</v>
      </c>
    </row>
    <row r="525" spans="1:21" x14ac:dyDescent="0.3">
      <c r="A525" s="101" t="s">
        <v>836</v>
      </c>
      <c r="B525" s="63" t="s">
        <v>604</v>
      </c>
      <c r="C525" s="52"/>
      <c r="D525" s="64"/>
      <c r="E525" s="64"/>
      <c r="F525" s="52">
        <v>0</v>
      </c>
      <c r="G525" s="50">
        <v>15000</v>
      </c>
      <c r="H525" s="51">
        <v>0</v>
      </c>
      <c r="I525" s="50">
        <f>(G525*(100%-H525))*F525</f>
        <v>0</v>
      </c>
      <c r="J525" s="49">
        <f>$K$5</f>
        <v>1</v>
      </c>
      <c r="K525" s="48">
        <f>I525/$K$5</f>
        <v>0</v>
      </c>
      <c r="M525" s="7" t="s">
        <v>24</v>
      </c>
      <c r="U525" s="8"/>
    </row>
    <row r="526" spans="1:21" x14ac:dyDescent="0.3">
      <c r="A526" s="101" t="s">
        <v>836</v>
      </c>
      <c r="B526" s="63" t="s">
        <v>127</v>
      </c>
      <c r="C526" s="52"/>
      <c r="D526" s="64"/>
      <c r="E526" s="64"/>
      <c r="F526" s="52">
        <v>0</v>
      </c>
      <c r="G526" s="50">
        <v>6000</v>
      </c>
      <c r="H526" s="51">
        <v>0</v>
      </c>
      <c r="I526" s="50">
        <f>(G526*(100%-H526))*F526</f>
        <v>0</v>
      </c>
      <c r="J526" s="49">
        <f>$K$5</f>
        <v>1</v>
      </c>
      <c r="K526" s="48">
        <f>I526/$K$5</f>
        <v>0</v>
      </c>
      <c r="M526" s="7" t="s">
        <v>23</v>
      </c>
      <c r="U526" s="8"/>
    </row>
    <row r="527" spans="1:21" x14ac:dyDescent="0.3">
      <c r="A527" s="101" t="s">
        <v>836</v>
      </c>
      <c r="B527" s="160" t="s">
        <v>28</v>
      </c>
      <c r="C527" s="161"/>
      <c r="D527" s="161" t="s">
        <v>28</v>
      </c>
      <c r="E527" s="161"/>
      <c r="F527" s="162">
        <v>0</v>
      </c>
      <c r="G527" s="163">
        <v>12500</v>
      </c>
      <c r="H527" s="164">
        <v>0</v>
      </c>
      <c r="I527" s="163">
        <f>(G527*(100%-H527))*F527</f>
        <v>0</v>
      </c>
      <c r="J527" s="165"/>
      <c r="K527" s="166">
        <f>(I527*J527)+I527</f>
        <v>0</v>
      </c>
      <c r="M527" s="7" t="s">
        <v>21</v>
      </c>
      <c r="U527" s="8"/>
    </row>
    <row r="528" spans="1:21" x14ac:dyDescent="0.3">
      <c r="A528" s="101" t="s">
        <v>836</v>
      </c>
      <c r="B528" s="63" t="s">
        <v>970</v>
      </c>
      <c r="C528" s="70"/>
      <c r="D528" s="70" t="s">
        <v>71</v>
      </c>
      <c r="E528" s="70"/>
      <c r="F528" s="52">
        <v>0</v>
      </c>
      <c r="G528" s="50">
        <v>45600</v>
      </c>
      <c r="H528" s="51">
        <v>0</v>
      </c>
      <c r="I528" s="50">
        <f>(G528*(100%-H528))*F528</f>
        <v>0</v>
      </c>
      <c r="J528" s="49"/>
      <c r="K528" s="166">
        <f>(I528*J528)+I528</f>
        <v>0</v>
      </c>
      <c r="M528" s="7"/>
      <c r="U528" s="8"/>
    </row>
    <row r="529" spans="1:21" x14ac:dyDescent="0.3">
      <c r="A529" s="101" t="s">
        <v>836</v>
      </c>
      <c r="B529" s="63"/>
      <c r="C529" s="70"/>
      <c r="D529" s="70"/>
      <c r="E529" s="70"/>
      <c r="F529" s="52"/>
      <c r="G529" s="50"/>
      <c r="H529" s="51"/>
      <c r="I529" s="50"/>
      <c r="J529" s="49"/>
      <c r="K529" s="48"/>
      <c r="M529" s="23" t="s">
        <v>18</v>
      </c>
      <c r="U529" s="8"/>
    </row>
    <row r="530" spans="1:21" ht="18.600000000000001" thickBot="1" x14ac:dyDescent="0.35">
      <c r="A530" s="101" t="s">
        <v>836</v>
      </c>
      <c r="B530" s="167"/>
      <c r="C530" s="168"/>
      <c r="D530" s="168"/>
      <c r="E530" s="168"/>
      <c r="F530" s="168"/>
      <c r="G530" s="168"/>
      <c r="H530" s="169" t="s">
        <v>9</v>
      </c>
      <c r="I530" s="170">
        <f>SUM(I525:I529)</f>
        <v>0</v>
      </c>
      <c r="J530" s="171"/>
      <c r="K530" s="172">
        <f>SUM(K525:K529)</f>
        <v>0</v>
      </c>
      <c r="M530" s="23" t="s">
        <v>17</v>
      </c>
      <c r="U530" s="8"/>
    </row>
    <row r="531" spans="1:21" x14ac:dyDescent="0.3">
      <c r="A531" s="101" t="s">
        <v>836</v>
      </c>
      <c r="B531" s="303" t="s">
        <v>25</v>
      </c>
      <c r="C531" s="304"/>
      <c r="D531" s="304"/>
      <c r="E531" s="304"/>
      <c r="F531" s="304"/>
      <c r="G531" s="304"/>
      <c r="H531" s="304"/>
      <c r="I531" s="304"/>
      <c r="J531" s="304"/>
      <c r="K531" s="305"/>
      <c r="M531" s="7"/>
      <c r="U531" s="8"/>
    </row>
    <row r="532" spans="1:21" ht="15" thickBot="1" x14ac:dyDescent="0.35">
      <c r="A532" s="101" t="s">
        <v>836</v>
      </c>
      <c r="B532" s="306"/>
      <c r="C532" s="307"/>
      <c r="D532" s="307"/>
      <c r="E532" s="307"/>
      <c r="F532" s="307"/>
      <c r="G532" s="307"/>
      <c r="H532" s="307"/>
      <c r="I532" s="307"/>
      <c r="J532" s="307"/>
      <c r="K532" s="308"/>
      <c r="M532" s="7" t="s">
        <v>15</v>
      </c>
      <c r="S532">
        <v>30</v>
      </c>
      <c r="T532">
        <v>121</v>
      </c>
      <c r="U532" s="8">
        <f>S532*T532</f>
        <v>3630</v>
      </c>
    </row>
    <row r="533" spans="1:21" x14ac:dyDescent="0.3">
      <c r="A533" s="101" t="s">
        <v>836</v>
      </c>
      <c r="B533" s="36" t="s">
        <v>22</v>
      </c>
      <c r="C533" s="35"/>
      <c r="D533" s="34"/>
      <c r="E533" s="34"/>
      <c r="F533" s="33">
        <v>0</v>
      </c>
      <c r="G533" s="31">
        <v>350</v>
      </c>
      <c r="H533" s="32">
        <v>0</v>
      </c>
      <c r="I533" s="31">
        <f t="shared" ref="I533:I538" si="90">(G533*(100%-H533))*F533</f>
        <v>0</v>
      </c>
      <c r="J533" s="30"/>
      <c r="K533" s="29">
        <f t="shared" ref="K533:K543" si="91">(I533*J533)+I533</f>
        <v>0</v>
      </c>
      <c r="M533" s="7" t="s">
        <v>14</v>
      </c>
      <c r="S533">
        <v>30</v>
      </c>
      <c r="T533">
        <v>423.5</v>
      </c>
      <c r="U533" s="8">
        <f>S533*T533</f>
        <v>12705</v>
      </c>
    </row>
    <row r="534" spans="1:21" x14ac:dyDescent="0.3">
      <c r="A534" s="101" t="s">
        <v>836</v>
      </c>
      <c r="B534" s="15" t="s">
        <v>20</v>
      </c>
      <c r="C534" s="14"/>
      <c r="F534" s="10">
        <v>0</v>
      </c>
      <c r="G534" s="26">
        <v>500</v>
      </c>
      <c r="H534" s="27">
        <v>0</v>
      </c>
      <c r="I534" s="26">
        <f t="shared" si="90"/>
        <v>0</v>
      </c>
      <c r="J534" s="25"/>
      <c r="K534" s="24">
        <f t="shared" si="91"/>
        <v>0</v>
      </c>
      <c r="M534" s="7" t="s">
        <v>14</v>
      </c>
      <c r="S534">
        <v>30</v>
      </c>
      <c r="T534">
        <v>423.5</v>
      </c>
      <c r="U534" s="8">
        <f>S534*T534</f>
        <v>12705</v>
      </c>
    </row>
    <row r="535" spans="1:21" x14ac:dyDescent="0.3">
      <c r="A535" s="101" t="s">
        <v>836</v>
      </c>
      <c r="B535" s="15" t="s">
        <v>19</v>
      </c>
      <c r="C535" s="14"/>
      <c r="F535" s="10">
        <v>0</v>
      </c>
      <c r="G535" s="26">
        <v>500</v>
      </c>
      <c r="H535" s="27">
        <v>0</v>
      </c>
      <c r="I535" s="26">
        <f t="shared" si="90"/>
        <v>0</v>
      </c>
      <c r="J535" s="25"/>
      <c r="K535" s="24">
        <f t="shared" si="91"/>
        <v>0</v>
      </c>
      <c r="M535" s="7" t="s">
        <v>12</v>
      </c>
      <c r="S535">
        <v>30</v>
      </c>
      <c r="T535">
        <v>99.22</v>
      </c>
      <c r="U535" s="8">
        <f>S535*T535</f>
        <v>2976.6</v>
      </c>
    </row>
    <row r="536" spans="1:21" x14ac:dyDescent="0.3">
      <c r="A536" s="101" t="s">
        <v>836</v>
      </c>
      <c r="B536" s="28" t="s">
        <v>605</v>
      </c>
      <c r="C536" s="14"/>
      <c r="F536" s="82">
        <v>0</v>
      </c>
      <c r="G536" s="26">
        <v>500</v>
      </c>
      <c r="H536" s="27">
        <v>0</v>
      </c>
      <c r="I536" s="26">
        <f t="shared" si="90"/>
        <v>0</v>
      </c>
      <c r="J536" s="25"/>
      <c r="K536" s="24">
        <f t="shared" si="91"/>
        <v>0</v>
      </c>
      <c r="M536" s="7" t="s">
        <v>8</v>
      </c>
      <c r="S536">
        <v>0</v>
      </c>
      <c r="T536">
        <v>90.75</v>
      </c>
      <c r="U536" s="8">
        <f>S536*T536</f>
        <v>0</v>
      </c>
    </row>
    <row r="537" spans="1:21" x14ac:dyDescent="0.3">
      <c r="A537" s="101" t="s">
        <v>836</v>
      </c>
      <c r="B537" s="28" t="s">
        <v>587</v>
      </c>
      <c r="C537" s="14"/>
      <c r="F537" s="10">
        <v>0</v>
      </c>
      <c r="G537" s="26">
        <v>150</v>
      </c>
      <c r="H537" s="27">
        <v>0</v>
      </c>
      <c r="I537" s="26">
        <f t="shared" si="90"/>
        <v>0</v>
      </c>
      <c r="J537" s="25"/>
      <c r="K537" s="24">
        <f t="shared" si="91"/>
        <v>0</v>
      </c>
      <c r="M537" s="7"/>
      <c r="U537" s="8"/>
    </row>
    <row r="538" spans="1:21" x14ac:dyDescent="0.3">
      <c r="A538" s="101" t="s">
        <v>836</v>
      </c>
      <c r="B538" s="28" t="s">
        <v>16</v>
      </c>
      <c r="C538" s="14"/>
      <c r="F538" s="10">
        <v>0</v>
      </c>
      <c r="G538" s="26">
        <v>5000</v>
      </c>
      <c r="H538" s="27">
        <v>0</v>
      </c>
      <c r="I538" s="26">
        <f t="shared" si="90"/>
        <v>0</v>
      </c>
      <c r="J538" s="25"/>
      <c r="K538" s="24">
        <f t="shared" si="91"/>
        <v>0</v>
      </c>
      <c r="M538" s="23" t="s">
        <v>11</v>
      </c>
      <c r="U538" s="8"/>
    </row>
    <row r="539" spans="1:21" x14ac:dyDescent="0.3">
      <c r="A539" s="101" t="s">
        <v>836</v>
      </c>
      <c r="B539" s="28" t="s">
        <v>588</v>
      </c>
      <c r="C539" s="14"/>
      <c r="D539" s="93" t="s">
        <v>640</v>
      </c>
      <c r="E539">
        <v>2</v>
      </c>
      <c r="F539" s="10">
        <v>2</v>
      </c>
      <c r="G539" s="26">
        <v>150</v>
      </c>
      <c r="H539" s="27">
        <v>0</v>
      </c>
      <c r="I539" s="26">
        <f>((G539*(100%-H539))*F539)*E539</f>
        <v>600</v>
      </c>
      <c r="J539" s="25"/>
      <c r="K539" s="24">
        <f t="shared" si="91"/>
        <v>600</v>
      </c>
      <c r="M539" s="23" t="s">
        <v>10</v>
      </c>
      <c r="U539" s="8"/>
    </row>
    <row r="540" spans="1:21" x14ac:dyDescent="0.3">
      <c r="A540" s="101" t="s">
        <v>836</v>
      </c>
      <c r="B540" s="28" t="s">
        <v>589</v>
      </c>
      <c r="C540" s="14"/>
      <c r="D540" s="93" t="s">
        <v>640</v>
      </c>
      <c r="E540">
        <v>4</v>
      </c>
      <c r="F540" s="10">
        <v>0</v>
      </c>
      <c r="G540" s="26">
        <v>250</v>
      </c>
      <c r="H540" s="27">
        <v>0</v>
      </c>
      <c r="I540" s="26">
        <f>((G540*(100%-H540))*F540)*E540</f>
        <v>0</v>
      </c>
      <c r="J540" s="25"/>
      <c r="K540" s="24">
        <f t="shared" si="91"/>
        <v>0</v>
      </c>
      <c r="M540" s="7"/>
      <c r="U540" s="8"/>
    </row>
    <row r="541" spans="1:21" x14ac:dyDescent="0.3">
      <c r="A541" s="101" t="s">
        <v>836</v>
      </c>
      <c r="B541" s="28" t="s">
        <v>590</v>
      </c>
      <c r="C541" s="14"/>
      <c r="F541" s="82">
        <v>0</v>
      </c>
      <c r="G541" s="26">
        <f>U544</f>
        <v>42290.6</v>
      </c>
      <c r="H541" s="27">
        <v>0</v>
      </c>
      <c r="I541" s="26">
        <f>(G541*(100%-H541))*F541</f>
        <v>0</v>
      </c>
      <c r="J541" s="25"/>
      <c r="K541" s="24">
        <f t="shared" si="91"/>
        <v>0</v>
      </c>
      <c r="M541" s="7" t="s">
        <v>8</v>
      </c>
      <c r="S541">
        <v>0</v>
      </c>
      <c r="T541">
        <v>90.75</v>
      </c>
      <c r="U541" s="8">
        <f>S541*T541</f>
        <v>0</v>
      </c>
    </row>
    <row r="542" spans="1:21" x14ac:dyDescent="0.3">
      <c r="A542" s="101" t="s">
        <v>836</v>
      </c>
      <c r="B542" s="28" t="s">
        <v>13</v>
      </c>
      <c r="C542" s="14"/>
      <c r="F542" s="10">
        <v>0</v>
      </c>
      <c r="G542" s="26">
        <v>2500</v>
      </c>
      <c r="H542" s="27">
        <v>0</v>
      </c>
      <c r="I542" s="26">
        <f>(G542*(100%-H542))*F542</f>
        <v>0</v>
      </c>
      <c r="J542" s="25"/>
      <c r="K542" s="24">
        <f t="shared" si="91"/>
        <v>0</v>
      </c>
      <c r="M542" s="7" t="s">
        <v>7</v>
      </c>
      <c r="S542">
        <v>30</v>
      </c>
      <c r="T542">
        <v>133.1</v>
      </c>
      <c r="U542" s="8">
        <f>S542*T542</f>
        <v>3993</v>
      </c>
    </row>
    <row r="543" spans="1:21" x14ac:dyDescent="0.3">
      <c r="A543" s="101" t="s">
        <v>836</v>
      </c>
      <c r="B543" s="28" t="s">
        <v>1027</v>
      </c>
      <c r="C543" s="14"/>
      <c r="F543" s="10">
        <v>0</v>
      </c>
      <c r="G543" s="26">
        <v>4.5</v>
      </c>
      <c r="H543" s="27">
        <v>0</v>
      </c>
      <c r="I543" s="26">
        <f>(G543*(100%-H543))*F543</f>
        <v>0</v>
      </c>
      <c r="J543" s="25"/>
      <c r="K543" s="24">
        <f t="shared" si="91"/>
        <v>0</v>
      </c>
      <c r="M543" s="7" t="s">
        <v>6</v>
      </c>
      <c r="S543">
        <v>0</v>
      </c>
      <c r="T543">
        <v>181.5</v>
      </c>
      <c r="U543" s="8">
        <v>0</v>
      </c>
    </row>
    <row r="544" spans="1:21" ht="15" thickBot="1" x14ac:dyDescent="0.35">
      <c r="A544" s="101" t="s">
        <v>836</v>
      </c>
      <c r="B544" s="15"/>
      <c r="C544" s="14"/>
      <c r="F544" s="14"/>
      <c r="G544" s="14"/>
      <c r="H544" s="14"/>
      <c r="I544" s="14"/>
      <c r="J544" s="14"/>
      <c r="K544" s="22"/>
      <c r="M544" s="7"/>
      <c r="U544" s="6">
        <f>SUM(U464:U543)</f>
        <v>42290.6</v>
      </c>
    </row>
    <row r="545" spans="1:21" ht="15.6" thickTop="1" thickBot="1" x14ac:dyDescent="0.35">
      <c r="A545" s="101" t="s">
        <v>836</v>
      </c>
      <c r="B545" s="15"/>
      <c r="C545" s="14"/>
      <c r="F545" s="14"/>
      <c r="G545" s="14"/>
      <c r="H545" s="14"/>
      <c r="I545" s="14"/>
      <c r="J545" s="14"/>
      <c r="K545" s="22"/>
      <c r="M545" s="5"/>
      <c r="N545" s="2"/>
      <c r="O545" s="2"/>
      <c r="P545" s="2"/>
      <c r="Q545" s="2"/>
      <c r="R545" s="2"/>
      <c r="S545" s="2"/>
      <c r="T545" s="2"/>
      <c r="U545" s="4"/>
    </row>
    <row r="546" spans="1:21" ht="18.600000000000001" thickBot="1" x14ac:dyDescent="0.35">
      <c r="A546" s="101" t="s">
        <v>836</v>
      </c>
      <c r="B546" s="21"/>
      <c r="C546" s="20"/>
      <c r="D546" s="2"/>
      <c r="E546" s="2"/>
      <c r="F546" s="20"/>
      <c r="G546" s="18"/>
      <c r="H546" s="19" t="s">
        <v>9</v>
      </c>
      <c r="I546" s="18">
        <f>SUM(I533:I543)</f>
        <v>600</v>
      </c>
      <c r="J546" s="17"/>
      <c r="K546" s="16">
        <f>SUM(K533:K544)</f>
        <v>600</v>
      </c>
    </row>
    <row r="547" spans="1:21" ht="18.600000000000001" thickBot="1" x14ac:dyDescent="0.35">
      <c r="B547" s="15"/>
      <c r="C547" s="202" t="s">
        <v>986</v>
      </c>
      <c r="F547" s="14"/>
      <c r="G547" s="13"/>
      <c r="H547" s="12"/>
      <c r="I547" s="11">
        <f>SUM(I546,I507,I459,I384,I275,I129,I521,I530)</f>
        <v>2589206.1</v>
      </c>
      <c r="J547" s="10"/>
      <c r="K547" s="9">
        <f>SUM(K546,K530,K521,K507,K459,K384,K275,K129)</f>
        <v>2589206.1</v>
      </c>
    </row>
    <row r="550" spans="1:21" ht="15" thickBot="1" x14ac:dyDescent="0.35"/>
    <row r="551" spans="1:21" ht="15" thickBot="1" x14ac:dyDescent="0.35">
      <c r="B551" s="84" t="s">
        <v>592</v>
      </c>
      <c r="C551" s="85">
        <f>SUM(K129,K275,K384,K507,K530)</f>
        <v>2588606.1</v>
      </c>
      <c r="D551" s="43"/>
    </row>
    <row r="552" spans="1:21" x14ac:dyDescent="0.3">
      <c r="B552" s="7" t="s">
        <v>4</v>
      </c>
      <c r="C552" s="86">
        <f>K459</f>
        <v>0</v>
      </c>
      <c r="D552" s="8"/>
      <c r="F552" s="3"/>
      <c r="G552" s="203" t="s">
        <v>5</v>
      </c>
      <c r="H552" s="204">
        <f>M2</f>
        <v>2588486.35</v>
      </c>
      <c r="I552" s="84">
        <v>0.95</v>
      </c>
      <c r="J552" s="211">
        <f>H552/I552</f>
        <v>2724722.4736842108</v>
      </c>
      <c r="K552" s="214">
        <v>0.7</v>
      </c>
      <c r="L552" s="211">
        <f>H552/K552</f>
        <v>3697837.6428571432</v>
      </c>
    </row>
    <row r="553" spans="1:21" x14ac:dyDescent="0.3">
      <c r="B553" s="7" t="s">
        <v>3</v>
      </c>
      <c r="C553" s="86">
        <f>K546</f>
        <v>600</v>
      </c>
      <c r="D553" s="8"/>
      <c r="G553" s="205" t="s">
        <v>627</v>
      </c>
      <c r="H553" s="206">
        <f>SUM(K534+K533)</f>
        <v>0</v>
      </c>
      <c r="I553" s="7">
        <v>0.95</v>
      </c>
      <c r="J553" s="212">
        <f t="shared" ref="J553:J563" si="92">H553/I553</f>
        <v>0</v>
      </c>
      <c r="K553" s="215">
        <v>0.7</v>
      </c>
      <c r="L553" s="212">
        <f t="shared" ref="L553:L563" si="93">H553/K553</f>
        <v>0</v>
      </c>
    </row>
    <row r="554" spans="1:21" x14ac:dyDescent="0.3">
      <c r="B554" s="7" t="s">
        <v>593</v>
      </c>
      <c r="C554" s="86">
        <f>K521</f>
        <v>0</v>
      </c>
      <c r="D554" s="8"/>
      <c r="G554" s="7" t="s">
        <v>661</v>
      </c>
      <c r="H554" s="207">
        <f>K536</f>
        <v>0</v>
      </c>
      <c r="I554" s="7">
        <v>0.95</v>
      </c>
      <c r="J554" s="212">
        <f t="shared" si="92"/>
        <v>0</v>
      </c>
      <c r="K554" s="215">
        <v>0.7</v>
      </c>
      <c r="L554" s="212">
        <f t="shared" si="93"/>
        <v>0</v>
      </c>
    </row>
    <row r="555" spans="1:21" x14ac:dyDescent="0.3">
      <c r="B555" s="7"/>
      <c r="C555" s="83"/>
      <c r="D555" s="8"/>
      <c r="G555" s="7" t="s">
        <v>4</v>
      </c>
      <c r="H555" s="207">
        <f>M3</f>
        <v>0</v>
      </c>
      <c r="I555" s="7">
        <v>0.95</v>
      </c>
      <c r="J555" s="212">
        <f t="shared" si="92"/>
        <v>0</v>
      </c>
      <c r="K555" s="215">
        <v>0.7</v>
      </c>
      <c r="L555" s="212">
        <f t="shared" si="93"/>
        <v>0</v>
      </c>
    </row>
    <row r="556" spans="1:21" ht="15" thickBot="1" x14ac:dyDescent="0.35">
      <c r="B556" s="5"/>
      <c r="C556" s="87">
        <f>SUM(C551:C555)</f>
        <v>2589206.1</v>
      </c>
      <c r="D556" s="4" t="s">
        <v>591</v>
      </c>
      <c r="G556" s="205" t="s">
        <v>606</v>
      </c>
      <c r="H556" s="206">
        <f>K537</f>
        <v>0</v>
      </c>
      <c r="I556" s="7">
        <v>0.95</v>
      </c>
      <c r="J556" s="212">
        <f t="shared" si="92"/>
        <v>0</v>
      </c>
      <c r="K556" s="215">
        <v>0.7</v>
      </c>
      <c r="L556" s="212">
        <f t="shared" si="93"/>
        <v>0</v>
      </c>
    </row>
    <row r="557" spans="1:21" x14ac:dyDescent="0.3">
      <c r="B557" s="83"/>
      <c r="C557" s="86"/>
      <c r="D557" s="83"/>
      <c r="G557" s="205" t="s">
        <v>607</v>
      </c>
      <c r="H557" s="208">
        <f>K535</f>
        <v>0</v>
      </c>
      <c r="I557" s="7">
        <v>0.95</v>
      </c>
      <c r="J557" s="212">
        <f t="shared" si="92"/>
        <v>0</v>
      </c>
      <c r="K557" s="215">
        <v>0.7</v>
      </c>
      <c r="L557" s="212">
        <f t="shared" si="93"/>
        <v>0</v>
      </c>
    </row>
    <row r="558" spans="1:21" x14ac:dyDescent="0.3">
      <c r="G558" s="205" t="s">
        <v>703</v>
      </c>
      <c r="H558" s="208">
        <f>K539</f>
        <v>600</v>
      </c>
      <c r="I558" s="7">
        <v>0.95</v>
      </c>
      <c r="J558" s="212">
        <f t="shared" si="92"/>
        <v>631.57894736842104</v>
      </c>
      <c r="K558" s="215">
        <v>0.7</v>
      </c>
      <c r="L558" s="212">
        <f t="shared" si="93"/>
        <v>857.14285714285722</v>
      </c>
    </row>
    <row r="559" spans="1:21" x14ac:dyDescent="0.3">
      <c r="G559" s="205" t="s">
        <v>704</v>
      </c>
      <c r="H559" s="208">
        <f>K540+K541</f>
        <v>0</v>
      </c>
      <c r="I559" s="7">
        <v>0.95</v>
      </c>
      <c r="J559" s="212">
        <f t="shared" si="92"/>
        <v>0</v>
      </c>
      <c r="K559" s="215">
        <v>0.7</v>
      </c>
      <c r="L559" s="212">
        <f t="shared" si="93"/>
        <v>0</v>
      </c>
    </row>
    <row r="560" spans="1:21" x14ac:dyDescent="0.3">
      <c r="C560" s="3"/>
      <c r="G560" s="205" t="s">
        <v>603</v>
      </c>
      <c r="H560" s="208">
        <f>M6</f>
        <v>119.75</v>
      </c>
      <c r="I560" s="7">
        <v>0.95</v>
      </c>
      <c r="J560" s="212">
        <f t="shared" si="92"/>
        <v>126.05263157894737</v>
      </c>
      <c r="K560" s="215">
        <v>0.7</v>
      </c>
      <c r="L560" s="212">
        <f t="shared" si="93"/>
        <v>171.07142857142858</v>
      </c>
    </row>
    <row r="561" spans="6:12" x14ac:dyDescent="0.3">
      <c r="F561" s="3"/>
      <c r="G561" s="205" t="s">
        <v>593</v>
      </c>
      <c r="H561" s="206">
        <f>M5</f>
        <v>0</v>
      </c>
      <c r="I561" s="7">
        <v>0.95</v>
      </c>
      <c r="J561" s="212">
        <f t="shared" si="92"/>
        <v>0</v>
      </c>
      <c r="K561" s="215">
        <v>0.7</v>
      </c>
      <c r="L561" s="212">
        <f t="shared" si="93"/>
        <v>0</v>
      </c>
    </row>
    <row r="562" spans="6:12" x14ac:dyDescent="0.3">
      <c r="G562" s="205" t="s">
        <v>608</v>
      </c>
      <c r="H562" s="206">
        <f>K542</f>
        <v>0</v>
      </c>
      <c r="I562" s="7">
        <v>0.95</v>
      </c>
      <c r="J562" s="212">
        <f t="shared" si="92"/>
        <v>0</v>
      </c>
      <c r="K562" s="215">
        <v>0.9</v>
      </c>
      <c r="L562" s="212">
        <f t="shared" si="93"/>
        <v>0</v>
      </c>
    </row>
    <row r="563" spans="6:12" x14ac:dyDescent="0.3">
      <c r="G563" s="205" t="s">
        <v>1028</v>
      </c>
      <c r="H563" s="206">
        <f>K543</f>
        <v>0</v>
      </c>
      <c r="I563" s="7">
        <v>0.95</v>
      </c>
      <c r="J563" s="212">
        <f t="shared" si="92"/>
        <v>0</v>
      </c>
      <c r="K563" s="7">
        <v>0.95</v>
      </c>
      <c r="L563" s="212">
        <f t="shared" si="93"/>
        <v>0</v>
      </c>
    </row>
    <row r="564" spans="6:12" x14ac:dyDescent="0.3">
      <c r="G564" s="205"/>
      <c r="H564" s="206"/>
      <c r="I564" s="7"/>
      <c r="J564" s="8"/>
      <c r="K564" s="7"/>
      <c r="L564" s="8"/>
    </row>
    <row r="565" spans="6:12" ht="15" thickBot="1" x14ac:dyDescent="0.35">
      <c r="G565" s="210" t="s">
        <v>965</v>
      </c>
      <c r="H565" s="209">
        <f>SUM(H552:H562)</f>
        <v>2589206.1</v>
      </c>
      <c r="I565" s="5" t="s">
        <v>966</v>
      </c>
      <c r="J565" s="213">
        <f>SUM(J552:J564)</f>
        <v>2725480.1052631582</v>
      </c>
      <c r="K565" s="5" t="s">
        <v>967</v>
      </c>
      <c r="L565" s="216">
        <f>SUM(L552:L564)</f>
        <v>3698865.8571428573</v>
      </c>
    </row>
    <row r="568" spans="6:12" x14ac:dyDescent="0.3">
      <c r="F568" s="90"/>
    </row>
  </sheetData>
  <mergeCells count="39">
    <mergeCell ref="M7:N7"/>
    <mergeCell ref="A2:B2"/>
    <mergeCell ref="F2:H4"/>
    <mergeCell ref="M2:N2"/>
    <mergeCell ref="A3:B3"/>
    <mergeCell ref="C3:D3"/>
    <mergeCell ref="M3:N3"/>
    <mergeCell ref="A4:B4"/>
    <mergeCell ref="C4:D4"/>
    <mergeCell ref="M4:N4"/>
    <mergeCell ref="I5:J5"/>
    <mergeCell ref="M5:N5"/>
    <mergeCell ref="I6:J6"/>
    <mergeCell ref="M6:N6"/>
    <mergeCell ref="A5:H6"/>
    <mergeCell ref="B403:K403"/>
    <mergeCell ref="A8:K9"/>
    <mergeCell ref="L8:L9"/>
    <mergeCell ref="M8:M9"/>
    <mergeCell ref="N8:N9"/>
    <mergeCell ref="B130:K131"/>
    <mergeCell ref="B276:K277"/>
    <mergeCell ref="B385:K386"/>
    <mergeCell ref="B387:K387"/>
    <mergeCell ref="B391:K391"/>
    <mergeCell ref="B396:K396"/>
    <mergeCell ref="B398:K398"/>
    <mergeCell ref="B531:K532"/>
    <mergeCell ref="B405:K405"/>
    <mergeCell ref="B408:K408"/>
    <mergeCell ref="B411:K411"/>
    <mergeCell ref="B434:K434"/>
    <mergeCell ref="B443:K443"/>
    <mergeCell ref="B445:K445"/>
    <mergeCell ref="B454:K454"/>
    <mergeCell ref="B456:K456"/>
    <mergeCell ref="B460:K461"/>
    <mergeCell ref="B508:K509"/>
    <mergeCell ref="B522:K523"/>
  </mergeCells>
  <hyperlinks>
    <hyperlink ref="E301" r:id="rId1" display="https://mall.industry.siemens.com/mall/en/za/Catalog/Product/5SY7216-7CC" xr:uid="{4E46B66B-3348-4BFC-B299-BC7C2EEBED15}"/>
    <hyperlink ref="E259" r:id="rId2" display="https://mall.industry.siemens.com/mall/en/za/Catalog/Product/3NE1820-0" xr:uid="{CE7A7593-9DE5-414E-BC62-066FE9E986F4}"/>
    <hyperlink ref="E262" r:id="rId3" display="https://mall.industry.siemens.com/mall/en/za/Catalog/Product/3NP1153-1DA10" xr:uid="{EBEB8848-ED9A-4FC8-8DE6-48C3C80D3432}"/>
    <hyperlink ref="D125" r:id="rId4" display="https://mall.industry.siemens.com/mall/en/za/Catalog/Product/5SY7106-7CC" xr:uid="{1436EB7B-16B5-4EF0-BA78-F6D5524FC4A4}"/>
    <hyperlink ref="D126" r:id="rId5" display="https://mall.industry.siemens.com/mall/en/za/Catalog/Product/5SY7210-7CC" xr:uid="{23B4C30C-8584-4FF5-BFFF-6914D5855B93}"/>
    <hyperlink ref="D127" r:id="rId6" display="https://mall.industry.siemens.com/mall/en/za/Catalog/Product/5SY7206-7CC" xr:uid="{6EAE0467-0934-4815-A301-3A025011483B}"/>
    <hyperlink ref="D128" r:id="rId7" display="https://mall.industry.siemens.com/mall/en/za/Catalog/Product/5SY7101-7CC" xr:uid="{DA3CA410-7961-4B45-9AF7-E5D27523576A}"/>
    <hyperlink ref="D129" r:id="rId8" display="https://mall.industry.siemens.com/mall/en/za/Catalog/Product/5SY7416-7CC" xr:uid="{E1F00C83-9F08-4394-AC05-326E18486F32}"/>
    <hyperlink ref="E416" r:id="rId9" display="https://mall.industry.siemens.com/mall/en/za/Catalog/Product/7ME6910-2CA30-1AA0" xr:uid="{F750B2FF-F443-4780-A9A1-65324AA1355D}"/>
    <hyperlink ref="E424" r:id="rId10" display="https://mall.industry.siemens.com/mall/en/za/Catalog/Product/7ME6520-2YC12-2AA1" xr:uid="{62903740-43EC-4B05-8591-54E553414ECF}"/>
    <hyperlink ref="E425" r:id="rId11" display="https://mall.industry.siemens.com/mall/en/za/Catalog/Product/7ME6520-3FC12-2AA1" xr:uid="{D034FDFB-A4AD-4346-BDE9-9A281DC7292C}"/>
    <hyperlink ref="E426" r:id="rId12" display="https://mall.industry.siemens.com/mall/en/za/Catalog/Product/7ME6520-3MC12-2AA1" xr:uid="{214E2641-1812-4081-8455-C2A9B62D6042}"/>
    <hyperlink ref="E427" r:id="rId13" display="https://mall.industry.siemens.com/mall/en/za/Catalog/Product/7ME6520-3TC12-2AA1" xr:uid="{7697E114-4E4E-4270-B0DA-882C84F87295}"/>
    <hyperlink ref="E428" r:id="rId14" display="https://mall.industry.siemens.com/mall/en/za/Catalog/Product/7ME6520-4BC12-2AA1" xr:uid="{512236D3-9FD0-4A10-98CF-7286FCD68B61}"/>
    <hyperlink ref="E429" r:id="rId15" display="https://mall.industry.siemens.com/mall/en/za/Catalog/Product/7ME6520-4HC12-2AA1" xr:uid="{CEC79C2E-2A6E-44DD-8CF8-A954B4CCBE44}"/>
    <hyperlink ref="E430" r:id="rId16" display="https://mall.industry.siemens.com/mall/en/za/Catalog/Product/7ME6520-4PC12-2AA1" xr:uid="{A4DC28A4-67BD-4871-9D5D-00433973371A}"/>
    <hyperlink ref="E431" r:id="rId17" display="https://mall.industry.siemens.com/mall/en/za/Catalog/Product/7ME6520-4VC12-2AA1" xr:uid="{F796D92E-2AB8-419F-8D72-236B644B9C8E}"/>
    <hyperlink ref="E243" r:id="rId18" display="https://mall.industry.siemens.com/mall/en/za/Catalog/Product/3VL5763-1DC36-0AA0" xr:uid="{1D87E685-4EFC-49E8-8C90-157EB252FBE5}"/>
    <hyperlink ref="E244" r:id="rId19" display="https://mall.industry.siemens.com/mall/en/za/Catalog/Product/3VL5750-1DC36-0AA0" xr:uid="{3D553FAA-B008-4D25-B1D8-108DEF08D38B}"/>
    <hyperlink ref="E245" r:id="rId20" display="https://mall.industry.siemens.com/mall/en/za/Catalog/Product/3VL4740-1DC36-0AA0" xr:uid="{44D2B777-A23F-41CE-9BEF-DAF46283FB84}"/>
    <hyperlink ref="E246" r:id="rId21" display="https://mall.industry.siemens.com/mall/en/za/Catalog/Product/3VL4731-1DC36-0AA0" xr:uid="{B0BE4CB5-877D-4AA4-8ECF-9998FE2BF121}"/>
    <hyperlink ref="E247" r:id="rId22" display="https://mall.industry.siemens.com/mall/en/za/Catalog/Product/3VL3725-1DC36-0AA0" xr:uid="{A08A4EDF-0360-45AD-8736-3B0584D7FE82}"/>
    <hyperlink ref="E248" r:id="rId23" display="https://mall.industry.siemens.com/mall/en/za/Catalog/Product/3VL3720-1DC36-0AA0" xr:uid="{DDA1035C-82F4-406D-B757-A0A7E26AD7B8}"/>
    <hyperlink ref="E249" r:id="rId24" display="https://mall.industry.siemens.com/mall/en/za/Catalog/Product/3VL2716-1DC33-0AA0" xr:uid="{1872109C-5483-4E08-8A30-9FCFEDEA0A66}"/>
    <hyperlink ref="E250" r:id="rId25" display="https://mall.industry.siemens.com/mall/en/za/Catalog/Product/3VL2712-1DC33-0AA0" xr:uid="{06FCEE3B-FF7A-4C6C-9267-820F04A6C2E9}"/>
    <hyperlink ref="E251" r:id="rId26" display="https://mall.industry.siemens.com/mall/en/za/Catalog/Product/3VL2710-1DC33-0AA0" xr:uid="{2272DB9D-D193-417C-8279-097E359A5684}"/>
    <hyperlink ref="E270" r:id="rId27" display="https://mall.industry.siemens.com/mall/en/za/Catalog/Product/3RT2027-1BB40" xr:uid="{FF1138A8-E157-4145-8B29-B961B3D3C5A6}"/>
    <hyperlink ref="E271" r:id="rId28" display="https://mall.industry.siemens.com/mall/en/za/Catalog/Product/3RT2036-1KB40" xr:uid="{16049E54-1D0B-4099-A7DF-3040917949DD}"/>
    <hyperlink ref="E272" r:id="rId29" display="https://mall.industry.siemens.com/mall/en/za/Catalog/Product/3RT2037-1KB40" xr:uid="{AAD0BDCB-1425-4226-ABE5-F0D6BE07743F}"/>
    <hyperlink ref="E268" r:id="rId30" display="https://mall.industry.siemens.com/mall/en/za/Catalog/Product/3RT2016-1BB41" xr:uid="{B0517499-89D5-484D-B1CD-2423490C9384}"/>
    <hyperlink ref="E269" r:id="rId31" display="https://mall.industry.siemens.com/mall/en/za/Catalog/Product/3RT2026-1BB40" xr:uid="{B43E3D47-BF77-4CD7-B912-1E2EFC02AA4A}"/>
    <hyperlink ref="E267" r:id="rId32" display="https://mall.industry.siemens.com/mall/en/za/Catalog/Product/3NA3805" xr:uid="{34AFA68F-A10D-4FA9-9A29-54EDCB786AFE}"/>
    <hyperlink ref="E266" r:id="rId33" display="https://mall.industry.siemens.com/mall/en/za/Catalog/Product/3NA3812" xr:uid="{A168C364-90D0-4EB8-AF0D-582DF3EA6897}"/>
    <hyperlink ref="E265" r:id="rId34" display="https://mall.industry.siemens.com/mall/en/za/Catalog/Product/3NA3820" xr:uid="{0AD998EE-F7A0-42A0-8D79-9CC81A8E204F}"/>
    <hyperlink ref="E264" r:id="rId35" display="https://mall.industry.siemens.com/mall/en/za/Catalog/Product/3NE1818-0" xr:uid="{A741DF79-AFE6-4323-86E9-251AFD40F098}"/>
    <hyperlink ref="E263" r:id="rId36" display="https://mall.industry.siemens.com/mall/en/za/Catalog/Product/8UC7212-1BB20" xr:uid="{CF70115E-85BD-40AC-BDC4-0085B180A3B5}"/>
    <hyperlink ref="E12" r:id="rId37" display="https://mall.industry.siemens.com/mall/en/za/Catalog/Product/6ED1055-1HB00-0BA2" xr:uid="{E7B1F4DA-D2F7-48EB-9733-F8E212EB614E}"/>
    <hyperlink ref="E13" r:id="rId38" display="https://mall.industry.siemens.com/mall/en/za/Catalog/Product/6ED1055-1NB10-0BA2" xr:uid="{D06DC077-3771-44BD-A1DA-BF5466C94351}"/>
    <hyperlink ref="E14" r:id="rId39" display="https://mall.industry.siemens.com/mall/en/za/Catalog/Product/6ED1055-1FB00-0BA2" xr:uid="{4B1E2311-4F47-4A96-8691-EC553A2CC935}"/>
    <hyperlink ref="E15" r:id="rId40" display="https://mall.industry.siemens.com/mall/en/za/Catalog/Product/6ED1055-1FB10-0BA2" xr:uid="{D5E8E5A3-CF3E-4964-9FF5-55C470F94434}"/>
    <hyperlink ref="E17" r:id="rId41" display="https://mall.industry.siemens.com/mall/en/za/Catalog/Product/6ES7215-1AG40-0XB0" xr:uid="{84AF3F26-898C-44BD-8D45-B5E52C2CB091}"/>
    <hyperlink ref="E18" r:id="rId42" display="https://mall.industry.siemens.com/mall/en/za/Catalog/Product/6ES7214-1AG40-0XB0" xr:uid="{2D7CAC64-94CD-4C7E-8BB8-7D039DAD1610}"/>
    <hyperlink ref="E19" r:id="rId43" display="https://mall.industry.siemens.com/mall/en/za/Catalog/Product/6ES7212-1AE40-0XB0" xr:uid="{75BD08AB-7EDF-4431-9D3B-B15978118050}"/>
    <hyperlink ref="E20" r:id="rId44" display="https://mall.industry.siemens.com/mall/en/za/Catalog/Product/6ES7231-4HD32-0XB0" xr:uid="{54597062-5967-4981-9910-89FCE8006AA6}"/>
    <hyperlink ref="E21" r:id="rId45" display="https://mall.industry.siemens.com/mall/en/za/Catalog/Product/6ES7231-4HF32-0XB0" xr:uid="{00B1A090-791D-4EDA-A40F-34F0F1134626}"/>
    <hyperlink ref="E22" r:id="rId46" display="https://mall.industry.siemens.com/mall/en/za/Catalog/Product/6ES7234-4HE32-0XB0" xr:uid="{39CFB330-60D9-450B-9FD3-F61B05FD40CB}"/>
    <hyperlink ref="E23" r:id="rId47" display="https://mall.industry.siemens.com/mall/en/za/Catalog/Product/6ES7232-4HD32-0XB0" xr:uid="{E8BB24C9-4FE3-4D62-ADA9-68535F412AFC}"/>
    <hyperlink ref="E28" r:id="rId48" display="https://mall.industry.siemens.com/mall/en/za/Catalog/Product/6ES7223-1BH32-0XB0" xr:uid="{47EC128A-4234-42BE-BA55-D872333B938E}"/>
    <hyperlink ref="E29" r:id="rId49" display="https://mall.industry.siemens.com/mall/en/za/Catalog/Product/6ES7223-1BL32-0XB0" xr:uid="{FC51A496-AA18-4BB1-B011-CC781007855C}"/>
    <hyperlink ref="E32" r:id="rId50" display="https://mall.industry.siemens.com/mall/en/za/Catalog/Product/6AV2123-2DB03-0AX0" xr:uid="{858FC643-1A51-4D59-B98F-150A134EAA71}"/>
    <hyperlink ref="E33" r:id="rId51" display="https://mall.industry.siemens.com/mall/en/za/Catalog/Product/6AV2124-2DC01-0AX0" xr:uid="{9212458F-E381-48D5-97B0-D98C816DC189}"/>
    <hyperlink ref="E34" r:id="rId52" display="https://mall.industry.siemens.com/mall/en/za/Catalog/Product/6AV2123-2GB03-0AX0" xr:uid="{2B1897C8-DB67-4B6A-A6E4-08A798B786F0}"/>
    <hyperlink ref="E35" r:id="rId53" display="https://mall.industry.siemens.com/mall/en/za/Catalog/Product/6AV2123-2JB03-0AX0" xr:uid="{D6D30E64-AFDD-4D7D-948C-A12015FA4C86}"/>
    <hyperlink ref="E37" r:id="rId54" display="https://mall.industry.siemens.com/mall/en/za/Catalog/Product/6AV2124-0MC01-0AX0" xr:uid="{BB2F94F4-C7EF-4A6A-A99C-90C5EE19357F}"/>
    <hyperlink ref="E38" r:id="rId55" display="https://mall.industry.siemens.com/mall/en/za/Catalog/Product/6AV2124-0QC02-0AX1" xr:uid="{80F303A9-162E-4455-BDE6-0C42C0B54E14}"/>
    <hyperlink ref="E44" r:id="rId56" display="https://mall.industry.siemens.com/mall/en/za/Catalog/Product/6EP1433-2BA20" xr:uid="{DB1C7B2C-E326-4DC7-BCBF-5F5D4E3A5C79}"/>
    <hyperlink ref="E45" r:id="rId57" display="https://mall.industry.siemens.com/mall/en/za/Catalog/Product/6EP1436-2BA10" xr:uid="{732E9059-560B-4D40-927D-C00F4D936A01}"/>
    <hyperlink ref="E46" r:id="rId58" display="https://mall.industry.siemens.com/mall/en/za/Catalog/Product/6EP1437-2BA20" xr:uid="{0FBBE021-A338-412A-A9C6-3E28B4F13BAD}"/>
    <hyperlink ref="E49" r:id="rId59" display="https://mall.industry.siemens.com/mall/en/za/Catalog/Product/6SL3210-5BE31-8UV0" xr:uid="{0AEA9848-197F-4276-8AAB-A73B88F5C5D7}"/>
    <hyperlink ref="E51" r:id="rId60" display="https://mall.industry.siemens.com/mall/en/za/Catalog/Product/6SL3210-5BE31-1UV0" xr:uid="{AE7AAAAD-6779-4308-B061-9F404F55A7D1}"/>
    <hyperlink ref="E52" r:id="rId61" display="https://mall.industry.siemens.com/mall/en/za/Catalog/Product/6SL3210-5BE27-5UV0" xr:uid="{7D5ED9AE-1D9A-4BE4-8163-1E94EC959BD7}"/>
    <hyperlink ref="E53" r:id="rId62" display="https://mall.industry.siemens.com/mall/en/za/Catalog/Product/6SL3210-5BE25-5UV0" xr:uid="{88883904-346B-402E-A6E7-46982B3ED97D}"/>
    <hyperlink ref="E55" r:id="rId63" display="https://mall.industry.siemens.com/mall/en/za/Catalog/Product/6SL3210-5BE23-0UV0" xr:uid="{D06C62F9-CC35-4F2A-A8EF-B9CBEAFA5643}"/>
    <hyperlink ref="E56" r:id="rId64" display="https://mall.industry.siemens.com/mall/en/za/Catalog/Product/6SL3210-5BE22-2CV0" xr:uid="{D574E541-062F-4E43-8ED7-536ADA1FD58E}"/>
    <hyperlink ref="E57" r:id="rId65" display="https://mall.industry.siemens.com/mall/en/za/Catalog/Product/6SL3210-5BE21-5UV0" xr:uid="{FACCED3F-7AF4-468F-BFC7-1A0A9FA24E11}"/>
    <hyperlink ref="E58" r:id="rId66" display="https://mall.industry.siemens.com/mall/en/za/Catalog/Product/6SL3210-5BE21-1UV0" xr:uid="{C2B4615E-BB0E-4530-B325-A2D8D0627912}"/>
    <hyperlink ref="E59" r:id="rId67" display="https://mall.industry.siemens.com/mall/en/za/Catalog/Product/6SL3210-5BE17-5UV0" xr:uid="{A8AFBFC8-65B8-4468-832D-DF8700D635AA}"/>
    <hyperlink ref="E67" r:id="rId68" display="https://mall.industry.siemens.com/mall/en/za/Catalog/Product/6SL3255-0VA00-4BA1" xr:uid="{1F58A95E-A5AB-4D11-BBCF-66931ACD90B2}"/>
    <hyperlink ref="E68" r:id="rId69" display="https://mall.industry.siemens.com/mall/en/za/Catalog/Product/6SL3255-0VA00-2AA1" xr:uid="{CE57701C-C358-41B7-9D0E-15F5039B7F3D}"/>
    <hyperlink ref="E71" r:id="rId70" display="https://mall.industry.siemens.com/mall/en/za/Catalog/Product/6SL3210-1PE32-5AL0" xr:uid="{2FD3B42A-6996-481B-BED8-08824D9DE771}"/>
    <hyperlink ref="E74" r:id="rId71" display="https://mall.industry.siemens.com/mall/en/za/Catalog/Product/6SL3210-1PE24-5AL0" xr:uid="{BFBC4F63-8DBA-40FB-BA24-4BDF8AABF198}"/>
    <hyperlink ref="E75" r:id="rId72" display="https://mall.industry.siemens.com/mall/en/za/Catalog/Product/6SL3210-1PE23-8AL0" xr:uid="{402942AF-18B4-44A3-9AAC-FB2380AA0559}"/>
    <hyperlink ref="E77" r:id="rId73" display="https://mall.industry.siemens.com/mall/en/za/Catalog/Product/6SL3210-1PE22-7AL0" xr:uid="{03E208C8-3B26-466F-9B03-DFB3FB6D2B0E}"/>
    <hyperlink ref="E78" r:id="rId74" display="https://mall.industry.siemens.com/mall/en/za/Catalog/Product/6SL3210-1PE21-8AL0" xr:uid="{52721AE8-9A57-46F7-9790-B7BB5D7F024E}"/>
    <hyperlink ref="E79" r:id="rId75" display="https://mall.industry.siemens.com/mall/en/za/Catalog/Product/6SL3210-1PE21-4AL0" xr:uid="{7DDE28E8-C9BD-486A-8C5A-8C43C20AB731}"/>
    <hyperlink ref="E81" r:id="rId76" display="https://mall.industry.siemens.com/mall/en/za/Catalog/Product/6SL3210-1PE18-0AL1" xr:uid="{F4601AA8-CF75-46CB-A49A-A1A4977C18A5}"/>
    <hyperlink ref="E88" r:id="rId77" display="https://mall.industry.siemens.com/mall/en/za/Catalog/Product/6SL3000-0CE33-3AA0" xr:uid="{6E7E87EE-16FD-457F-8112-084E66D07881}"/>
    <hyperlink ref="E90" r:id="rId78" display="https://mall.industry.siemens.com/mall/en/za/Catalog/Product/6SL3203-0BE32-5AA0" xr:uid="{2FB08216-3521-4181-881F-89B63A9842E0}"/>
    <hyperlink ref="E92" r:id="rId79" display="https://mall.industry.siemens.com/mall/en/za/Catalog/Product/6SL3000-2BE32-6AA0" xr:uid="{A399A515-2399-4DCC-8BAF-0E52843EE655}"/>
    <hyperlink ref="E95" r:id="rId80" display="https://mall.industry.siemens.com/mall/en/za/Catalog/Product/6SL3244-0BB12-1FA0" xr:uid="{0D52CD1A-D175-4DC2-A53E-05BB872FC4FF}"/>
    <hyperlink ref="E96" r:id="rId81" display="https://mall.industry.siemens.com/mall/en/za/Catalog/Product/6SL3243-0BB30-1FA0" xr:uid="{95F843FD-C28F-4E76-9965-FC67DB59D283}"/>
    <hyperlink ref="E97" r:id="rId82" display="https://mall.industry.siemens.com/mall/en/za/Catalog/Product/6SL3255-0AA00-4CA1" xr:uid="{525F836C-78E7-44B2-B8F2-139C4411AE19}"/>
    <hyperlink ref="E98" r:id="rId83" display="https://mall.industry.siemens.com/mall/en/za/Catalog/Product/6SL3255-0AA00-4JA2" xr:uid="{A029E9C5-A110-4124-B132-B1344456CFB9}"/>
    <hyperlink ref="E99" r:id="rId84" display="https://mall.industry.siemens.com/mall/en/za/Catalog/Product/6SL3256-0AP00-0JA0" xr:uid="{B4C67800-7A4B-4795-A500-F60161558B84}"/>
    <hyperlink ref="E103" r:id="rId85" display="https://mall.industry.siemens.com/mall/en/za/Catalog/Product/6AV2107-0CA00-0BH0" xr:uid="{C722925F-348A-416F-A953-6F40994757F5}"/>
    <hyperlink ref="E104" r:id="rId86" display="https://mall.industry.siemens.com/mall/en/za/Catalog/Product/6GK5874-3AA00-2AA2" xr:uid="{2A081D60-8327-4963-B0B0-3ED46629BB4D}"/>
    <hyperlink ref="E105" r:id="rId87" display="https://mall.industry.siemens.com/mall/en/za/Catalog/Product/6GK5908-0PB00" xr:uid="{D5FEE3AA-10F9-4A4D-938B-0D8856824451}"/>
    <hyperlink ref="E106" r:id="rId88" display="https://mall.industry.siemens.com/mall/en/za/Catalog/Product/6NH9860-1AA00" xr:uid="{30863246-11D4-441A-ABD0-75140287A89C}"/>
    <hyperlink ref="E107" r:id="rId89" display="https://mall.industry.siemens.com/mall/en/za/Catalog/Product/6GK1720-1AH01-0BV0" xr:uid="{1EB36CDC-0DD5-4BA8-A148-1EB2F7E591BD}"/>
    <hyperlink ref="E108" r:id="rId90" display="https://mall.industry.siemens.com/mall/en/za/Catalog/Product/6AV2181-8XP00-0AX0" xr:uid="{96EF0F8F-1D90-466D-8B6E-52730AF70A43}"/>
    <hyperlink ref="E110" r:id="rId91" display="https://mall.industry.siemens.com/mall/en/za/Catalog/Product/6ES7513-1AL01-0AB0" xr:uid="{EC1055BC-2DE7-4628-957B-42970D8C68ED}"/>
    <hyperlink ref="E111" r:id="rId92" display="https://mall.industry.siemens.com/mall/en/za/Catalog/Product/6ES7523-1BL00-0AA0" xr:uid="{42341DEC-F56C-4B18-9510-05CA6CF410A9}"/>
    <hyperlink ref="E112" r:id="rId93" display="https://mall.industry.siemens.com/mall/en/za/Catalog/Product/6ES7531-7KF00-0AB0" xr:uid="{0497D6CC-6BD5-4CC4-966B-1F9BDFC292C7}"/>
    <hyperlink ref="E113" r:id="rId94" display="https://mall.industry.siemens.com/mall/en/za/Catalog/Product/6ES7532-5HF00-0AB0" xr:uid="{6AD24582-B140-4ED2-93DA-45E5F36F83A0}"/>
    <hyperlink ref="E114" r:id="rId95" display="https://mall.industry.siemens.com/mall/en/za/Catalog/Product/6GK5224-0BA00-2AC2" xr:uid="{062BBED4-B992-4475-9CD6-9056C0F6AB1F}"/>
    <hyperlink ref="E115" r:id="rId96" display="https://mall.industry.siemens.com/mall/en/za/Catalog/Product/6EP1436-2BA10" xr:uid="{28D65245-1EF3-4133-AF97-56F74B77CD6F}"/>
    <hyperlink ref="E116" r:id="rId97" display="https://mall.industry.siemens.com/mall/en/za/Catalog/Product/6ES7592-1AM00-0XB0" xr:uid="{C392130C-0E3E-4447-BCCB-D096050E1E95}"/>
    <hyperlink ref="E117" r:id="rId98" display="https://mall.industry.siemens.com/mall/en/za/Catalog/Product/6ES7590-1AE80-0AA0" xr:uid="{7B5464D6-E809-4FF8-BA2B-BD505215E67C}"/>
    <hyperlink ref="E118" r:id="rId99" display="https://mall.industry.siemens.com/mall/en/za/Catalog/Product/6ES7954-8LF03-0AA0" xr:uid="{66B7AB7E-C1FF-491B-817F-91A906362D62}"/>
    <hyperlink ref="E119" r:id="rId100" display="https://mall.industry.siemens.com/mall/en/za/Catalog/Product/6ES7822-1AE05-0YC5" xr:uid="{233C1D86-AECC-402E-B065-DEDBD9790173}"/>
    <hyperlink ref="E120" r:id="rId101" display="https://mall.industry.siemens.com/mall/en/za/Catalog/Product/6AV2102-2AA05-0BJ5" xr:uid="{55B48A74-9AB3-489A-92BA-8E4E705CD8F8}"/>
    <hyperlink ref="E121" r:id="rId102" display="https://mall.industry.siemens.com/mall/en/za/Catalog/Product/6AV2104-0FA05-0AH0" xr:uid="{F4E50E2F-B14F-45CB-9BC3-BD5712C5272E}"/>
    <hyperlink ref="E133" r:id="rId103" display="https://mall.industry.siemens.com/mall/en/za/Catalog/Product/3UG4615-1CR20" xr:uid="{850F21B6-6FD0-4E54-9CB0-B64636027A34}"/>
    <hyperlink ref="E134" r:id="rId104" display="https://mall.industry.siemens.com/mall/en/za/Catalog/Product/3UG4641-1CS20" xr:uid="{E8072BA9-011B-4928-A819-F586A7B95BD4}"/>
    <hyperlink ref="E135" r:id="rId105" display="https://mall.industry.siemens.com/mall/en/za/Catalog/Product/7KM2111-1BA00-3AA0" xr:uid="{6462B013-9BA3-49E8-A396-75DF2DCCB33D}"/>
    <hyperlink ref="E137" r:id="rId106" display="https://mall.industry.siemens.com/mall/en/za/Catalog/Product/7KM5212-6BA00-1EA2" xr:uid="{AC362D74-9D23-4A3D-8CC0-BAA36776A1D7}"/>
    <hyperlink ref="E136" r:id="rId107" display="https://mall.industry.siemens.com/mall/en/za/Catalog/Product/7KM2200-2EA30-1EA1" xr:uid="{172F2247-6F86-4436-A913-ACB9F3BCDC04}"/>
    <hyperlink ref="E142" r:id="rId108" display="https://mall.industry.siemens.com/mall/en/za/Catalog/Product/3RV2011-1AA10" xr:uid="{09FD9B7B-2543-4D83-A2E0-70A30F4CE3E5}"/>
    <hyperlink ref="E143" r:id="rId109" display="https://mall.industry.siemens.com/mall/en/za/Catalog/Product/3RV2011-1CA10" xr:uid="{60247D17-F918-4455-8D12-013261DF19A8}"/>
    <hyperlink ref="E144" r:id="rId110" display="https://mall.industry.siemens.com/mall/en/za/Catalog/Product/3RV2011-1GA10" xr:uid="{5E8D5EEE-7A25-487E-9D87-7F9B9A72775A}"/>
    <hyperlink ref="E145" r:id="rId111" display="https://mall.industry.siemens.com/mall/en/za/Catalog/Product/3RV2011-1BA10" xr:uid="{CB23DE05-25C5-4835-8ED7-44DA77C908D4}"/>
    <hyperlink ref="E146" r:id="rId112" display="https://mall.industry.siemens.com/mall/en/za/Catalog/Product/3RV2011-1DA10" xr:uid="{B51553EE-AFC3-4C00-A0FC-3EC9501BB6E9}"/>
    <hyperlink ref="E147" r:id="rId113" display="https://mall.industry.siemens.com/mall/en/za/Catalog/Product/3RV2011-1HA10" xr:uid="{5F1323F6-712D-4085-BF77-7590DD7A3E66}"/>
    <hyperlink ref="E148" r:id="rId114" display="https://mall.industry.siemens.com/mall/en/za/Catalog/Product/3RV2011-1JA10" xr:uid="{F31EC858-5311-47A6-AD7B-FA6B74B16BA2}"/>
    <hyperlink ref="E149" r:id="rId115" display="https://mall.industry.siemens.com/mall/en/za/Catalog/Product/3RV2011-1KA10" xr:uid="{28FAA30E-3D8D-42D6-8B72-A2CE9158ED5C}"/>
    <hyperlink ref="E150" r:id="rId116" display="https://mall.industry.siemens.com/mall/en/za/Catalog/Product/3RV2011-1EA10" xr:uid="{0119CB18-299E-46A9-BFEA-D5E062D2931F}"/>
    <hyperlink ref="E151" r:id="rId117" display="https://mall.industry.siemens.com/mall/en/za/Catalog/Product/3RV2021-4FA10" xr:uid="{FF0BFA00-A5E9-4254-8D1F-13FFDD5EA6E8}"/>
    <hyperlink ref="E152" r:id="rId118" display="https://mall.industry.siemens.com/mall/en/za/Catalog/Product/3RV2021-4BA10" xr:uid="{11F8E8F3-BB8F-48CB-B88B-837117044B49}"/>
    <hyperlink ref="E158" r:id="rId119" display="https://mall.industry.siemens.com/mall/en/za/Catalog/Product/3RT2015-1BB41" xr:uid="{59BECB16-45E6-4CA3-931C-F59818671325}"/>
    <hyperlink ref="E159" r:id="rId120" display="https://mall.industry.siemens.com/mall/en/za/Catalog/Product/3RT2016-1BB41" xr:uid="{F999CA0E-9446-44B6-BC3C-A14D10285996}"/>
    <hyperlink ref="E160" r:id="rId121" display="https://mall.industry.siemens.com/mall/en/za/Catalog/Product/3RT2017-1BB41" xr:uid="{B59EA6F0-FB95-4C6F-B398-B1D6026B2218}"/>
    <hyperlink ref="E161" r:id="rId122" display="https://mall.industry.siemens.com/mall/en/za/Catalog/Product/3RT2015-1AP01" xr:uid="{B4C1E0A6-891C-4D8D-AF7E-E47D1D644D64}"/>
    <hyperlink ref="E162" r:id="rId123" display="https://mall.industry.siemens.com/mall/en/za/Catalog/Product/3RV2011-1FA10" xr:uid="{BCB9B1DA-04F6-415B-9698-B105C73E7A94}"/>
    <hyperlink ref="E163" r:id="rId124" display="https://mall.industry.siemens.com/mall/en/za/Catalog/Product/3VL1103-1KM30-0AA0" xr:uid="{8A89A998-AB1B-4CB4-A761-1766994B901A}"/>
    <hyperlink ref="E164" r:id="rId125" display="https://mall.industry.siemens.com/mall/en/za/Catalog/Product/3RV2901-1E" xr:uid="{783C6153-1797-44DD-911A-9BCB2B70EB29}"/>
    <hyperlink ref="E166" r:id="rId126" display="https://mall.industry.siemens.com/mall/en/za/Catalog/Product/3SU1100-1HB20-1CG0" xr:uid="{5345A328-0B08-4323-94F4-ABA7704218B4}"/>
    <hyperlink ref="E167" r:id="rId127" display="https://mall.industry.siemens.com/mall/en/za/Catalog/Product/3SU1100-0AB10-1BA0" xr:uid="{19A67024-CEB2-402F-8C1E-B0B3AA8C5FC7}"/>
    <hyperlink ref="E154" r:id="rId128" display="https://mall.industry.siemens.com/mall/en/za/Catalog/Product/3RV1915-1BB" xr:uid="{C207E421-C60C-4003-B2C1-313F6EAAF768}"/>
    <hyperlink ref="E155" r:id="rId129" display="https://mall.industry.siemens.com/mall/en/za/Catalog/Product/3RV2925-5AB" xr:uid="{DEB13965-84A4-422B-A04D-EA5658FFB307}"/>
    <hyperlink ref="E156" r:id="rId130" display="https://mall.industry.siemens.com/mall/en/za/Catalog/Product/3RA1921-1DA00" xr:uid="{86E13766-F50E-4916-AA9A-295C3FCCB91F}"/>
    <hyperlink ref="E174" r:id="rId131" display="https://mall.industry.siemens.com/mall/en/za/Catalog/Product/?mlfb=LZS%3aRT4A4L24" xr:uid="{F06AF499-5432-4C56-8922-6123A8B1A417}"/>
    <hyperlink ref="E175" r:id="rId132" display="https://mall.industry.siemens.com/mall/en/za/Catalog/Product/?mlfb=LZS%3aRT4A4T30" xr:uid="{3B9F6B58-81B4-4813-9224-F8431EC55765}"/>
    <hyperlink ref="E176" r:id="rId133" display="https://mall.industry.siemens.com/mall/en/za/Catalog/Product/?mlfb=LZS%3aPT5A5L24" xr:uid="{C3B285AA-A8C7-4B6F-8594-2C5294A7A71E}"/>
    <hyperlink ref="E177" r:id="rId134" display="https://mall.industry.siemens.com/mall/en/za/Catalog/Product/?mlfb=LZS%3aPT5A5T30" xr:uid="{704D6949-3321-475E-9208-C9B65C3DC09B}"/>
    <hyperlink ref="E180" r:id="rId135" display="https://mall.industry.siemens.com/mall/en/za/Catalog/Product/5SY7101-7CC" xr:uid="{8B41F01A-F9C0-4DEF-B7DF-164D23678DFC}"/>
    <hyperlink ref="E181" r:id="rId136" display="https://mall.industry.siemens.com/mall/en/za/Catalog/Product/5SY7102-7CC" xr:uid="{C0D24CBE-74EA-4D4C-85D3-3CAE6BD43810}"/>
    <hyperlink ref="E184" r:id="rId137" display="https://mall.industry.siemens.com/mall/en/za/Catalog/Product/5SY7106-7CC" xr:uid="{44403D41-C82B-45F7-BA0A-28AE2C10A734}"/>
    <hyperlink ref="E185" r:id="rId138" display="https://mall.industry.siemens.com/mall/en/za/Catalog/Product/5SY7206-7CC" xr:uid="{7788388E-A4AA-44F5-8CCA-72E374102D51}"/>
    <hyperlink ref="E186" r:id="rId139" display="https://mall.industry.siemens.com/mall/en/za/Catalog/Product/5SY7110-7CC" xr:uid="{515CE3D8-7AAB-4481-9310-44A8AAB96D5A}"/>
    <hyperlink ref="E187" r:id="rId140" display="https://mall.industry.siemens.com/mall/en/za/Catalog/Product/5SY7210-7CC" xr:uid="{14F9F373-9298-44DF-BB1D-0B4E02A2F8D1}"/>
    <hyperlink ref="E188" r:id="rId141" display="https://mall.industry.siemens.com/mall/en/za/Catalog/Product/5SY7216-7CC" xr:uid="{A24959FC-83DB-4556-8812-599692AFE2AD}"/>
    <hyperlink ref="E189" r:id="rId142" display="https://mall.industry.siemens.com/mall/en/za/Catalog/Product/5SY7416-7CC" xr:uid="{1EFA4FB8-ED51-4607-9300-252B9B5D8804}"/>
    <hyperlink ref="E190" r:id="rId143" display="https://mall.industry.siemens.com/mall/en/za/Catalog/Product/5SY7425-7CC" xr:uid="{2D0CEBF1-0DA5-4A77-BF32-DF3AA53F02F0}"/>
    <hyperlink ref="E191" r:id="rId144" display="https://mall.industry.siemens.com/mall/en/za/Catalog/Product/5SY7432-7CC" xr:uid="{E49DE1FE-1546-4EA9-BFB8-154A20BE7AD0}"/>
    <hyperlink ref="E192" r:id="rId145" display="https://mall.industry.siemens.com/mall/en/za/Catalog/Product/5SY7463-7CC" xr:uid="{9564BC48-7B1E-49DE-8563-03551A4F497C}"/>
    <hyperlink ref="E206" r:id="rId146" display="https://mall.industry.siemens.com/mall/en/za/Catalog/Product/3SU1100-2BF60-1BA0" xr:uid="{8B850F08-2D82-4C2D-810F-AA7F4D12620E}"/>
    <hyperlink ref="E207" r:id="rId147" display="https://mall.industry.siemens.com/mall/en/za/Catalog/Product/3SU1100-2BL60-1NA0" xr:uid="{526E8858-E3D4-4D47-9FEF-E498DC19EEFC}"/>
    <hyperlink ref="E212" r:id="rId148" display="https://mall.industry.siemens.com/mall/en/za/Catalog/Product/3RW4028-1BB04" xr:uid="{9531B7D1-9C14-4031-95A2-97848D9203AA}"/>
    <hyperlink ref="E210" r:id="rId149" display="https://mall.industry.siemens.com/mall/en/za/Catalog/Product/3RW4026-1BB04" xr:uid="{8AA63DB2-E61A-45A1-8BCB-4BDF9A0175C6}"/>
    <hyperlink ref="E211" r:id="rId150" display="https://mall.industry.siemens.com/mall/en/za/Catalog/Product/3RW4027-1BB04" xr:uid="{42C7A847-017A-4B77-847A-98AB2A1981C0}"/>
    <hyperlink ref="E213" r:id="rId151" display="https://mall.industry.siemens.com/mall/en/za/Catalog/Product/3RW4036-1BB04" xr:uid="{838BA5D8-8F05-4BA0-80AF-056F069DB15B}"/>
    <hyperlink ref="E170" r:id="rId152" display="https://mall.industry.siemens.com/mall/en/za/Catalog/Product/3SU1102-6AA40-1AA0" xr:uid="{00095932-5F17-429F-97C6-41F47A77380B}"/>
    <hyperlink ref="E171" r:id="rId153" display="https://mall.industry.siemens.com/mall/en/za/Catalog/Product/3SU1102-6AA20-1AA0" xr:uid="{0A19E5C4-83FD-4E40-87C1-0F4B79238CB8}"/>
    <hyperlink ref="E215" r:id="rId154" display="https://mall.industry.siemens.com/mall/en/za/Catalog/Product/3VL2706-1DK33-0AA0" xr:uid="{C572A4C0-3C6F-4BC0-8BD9-6D45AA442B7D}"/>
    <hyperlink ref="E217" r:id="rId155" display="https://mall.industry.siemens.com/mall/en/za/Catalog/Product/3VL2716-1DK33-0AA0" xr:uid="{A9F0382C-2DF1-45B6-BC25-88EC25E8D91D}"/>
    <hyperlink ref="E252" r:id="rId156" display="https://mall.industry.siemens.com/mall/en/za/Catalog/Product/3VL9300-3HF05" xr:uid="{9428059D-AB1B-4578-8C10-F0723D14A4FD}"/>
    <hyperlink ref="E253" r:id="rId157" display="https://mall.industry.siemens.com/mall/en/za/Catalog/Product/3VL9400-3HF05" xr:uid="{C9E01B5C-6C87-404F-B079-6D5461C8CC3B}"/>
    <hyperlink ref="E254" r:id="rId158" display="https://mall.industry.siemens.com/mall/en/za/Catalog/Product/3VL9600-3HF05" xr:uid="{25685550-B682-4C91-9581-6B4B54CA4D86}"/>
    <hyperlink ref="E255" r:id="rId159" display="https://mall.industry.siemens.com/mall/en/za/Catalog/Product/3VL9800-3HF05" xr:uid="{388B6A90-90BD-4ED2-B1CD-9755473C6DB8}"/>
    <hyperlink ref="E54" r:id="rId160" display="https://mall.industry.siemens.com/mall/en/za/Catalog/Product/6SL3210-5BE24-0UV0" xr:uid="{33B7F1C7-9267-4B48-ACD2-96686AAB04C7}"/>
    <hyperlink ref="E208" r:id="rId161" display="https://mall.industry.siemens.com/mall/en/za/Catalog/Product/3RW4024-1BB04" xr:uid="{8DCB8692-F7AF-44EC-B73E-CA4A55BF303C}"/>
    <hyperlink ref="E209" r:id="rId162" display="https://mall.industry.siemens.com/mall/en/za/Catalog/Product/3RW4024-1BB05" xr:uid="{A7A4D52D-17C6-43E3-AAA9-F4D4D98ADE6B}"/>
    <hyperlink ref="E70" r:id="rId163" display="https://mall.industry.siemens.com/mall/en/za/Catalog/Product/6SL3224-0XE42-0UA0" xr:uid="{B25FE21E-BCE8-40C7-BF62-3A04E8454DFA}"/>
    <hyperlink ref="E72" r:id="rId164" display="https://mall.industry.siemens.com/mall/en/za/Catalog/Product/6SL3210-1PE31-5AL0" xr:uid="{E7B83246-B684-4F9C-99AE-D058783CFE4C}"/>
    <hyperlink ref="E93" r:id="rId165" display="https://mall.industry.siemens.com/mall/en/za/Catalog/Product/6SE6400-3TC14-5FD0" xr:uid="{1238687C-6399-4252-9D9F-D72543A875DB}"/>
    <hyperlink ref="E91" r:id="rId166" display="https://mall.industry.siemens.com/mall/en/za/Catalog/Product/6SL3000-2BE35-0AA0" xr:uid="{42B02C64-FEBE-4C3F-B36E-8D8FF9FEEF99}"/>
    <hyperlink ref="E89" r:id="rId167" display="https://mall.industry.siemens.com/mall/en/za/Catalog/Product/6SL3000-0BE36-0AA0" xr:uid="{FB93622E-B950-497F-A05C-DD1E97E0C659}"/>
    <hyperlink ref="E36" r:id="rId168" display="https://mall.industry.siemens.com/mall/en/za/Catalog/Product/6AV2123-2MA03-0AX0" xr:uid="{ED361B18-37CC-4DDC-8D28-8693BA54DE15}"/>
    <hyperlink ref="E102" r:id="rId169" display="https://mall.industry.siemens.com/mall/en/za/Catalog/Product/6GK5116-0BA00-2AB2" xr:uid="{DC808A79-9EE4-43A0-8B4E-50C9978D8B7E}"/>
    <hyperlink ref="E242" r:id="rId170" display="https://mall.industry.siemens.com/mall/en/za/Catalog/Product/?mlfb=3VA2716-5DF02-0AA0-Z+F11" xr:uid="{86B39551-E143-407D-A861-46A107359561}"/>
    <hyperlink ref="E214" r:id="rId171" display="https://mall.industry.siemens.com/mall/en/za/Catalog/Product/3RW4037-1TB04" xr:uid="{676838D4-486A-41D0-99BD-6770D0801843}"/>
    <hyperlink ref="E101" r:id="rId172" display="https://mall.industry.siemens.com/mall/en/za/Catalog/Product/6GK5004-1GM10-1AB2" xr:uid="{F01B7A16-6A80-4A86-90A3-401FEA7DF22D}"/>
    <hyperlink ref="E30" r:id="rId173" display="https://mall.industry.siemens.com/mall/en/za/Catalog/Product/6ES7241-1CH32-0XB0" xr:uid="{A7ED060F-061F-438D-8EF1-70D4F9FAE45E}"/>
    <hyperlink ref="E76" r:id="rId174" display="https://mall.industry.siemens.com/mall/en/za/Catalog/Product/6SL3210-1PE23-3AL0" xr:uid="{BD0EFB48-5B7C-4C96-8E43-4B2667DCB982}"/>
    <hyperlink ref="E182" r:id="rId175" display="https://mall.industry.siemens.com/mall/en/za/Catalog/Product/5SY7104-7CC" xr:uid="{92853E5F-ECFF-439B-9A76-1462BA411E87}"/>
    <hyperlink ref="E183" r:id="rId176" display="https://mall.industry.siemens.com/mall/en/za/Catalog/Product/5SY7204-7CC" xr:uid="{F37DCB54-A96B-4FB5-B394-AB84EBBCE64F}"/>
    <hyperlink ref="E216" r:id="rId177" display="https://mall.industry.siemens.com/mall/en/za/Catalog/Product/3VA1110-5MH36-0AA0" xr:uid="{7B2BA4B1-A290-48F3-8729-CF3F9260F59A}"/>
    <hyperlink ref="E218" r:id="rId178" tooltip="3VA9157-0FK21" display="https://mall.industry.siemens.com/mall/en/za/Catalog/Product/3VA9157-0FK21" xr:uid="{967CE911-5B9A-408F-8C6F-4972FDEC4047}"/>
    <hyperlink ref="E179" r:id="rId179" display="https://mall.industry.siemens.com/mall/en/za/Catalog/Product/5ST3010" xr:uid="{D5B8A78D-C1C8-4B47-A40E-D9B23EA93162}"/>
    <hyperlink ref="E24" r:id="rId180" display="https://mall.industry.siemens.com/mall/en/za/Catalog/Product/6ES7221-1BF32-0XB0" xr:uid="{0F97DF9F-84AA-45F7-813B-E99075080C28}"/>
    <hyperlink ref="E25" r:id="rId181" display="https://mall.industry.siemens.com/mall/en/za/Catalog/Product/6ES7221-1BH32-0XB0" xr:uid="{716AD163-8EEC-4CF1-8761-365086014156}"/>
    <hyperlink ref="E26" r:id="rId182" display="https://mall.industry.siemens.com/mall/en/za/Catalog/Product/6ES7222-1BF32-0XB0" xr:uid="{7E3969B8-7B2F-4C80-9CB7-8B2388C61B1F}"/>
    <hyperlink ref="E27" r:id="rId183" display="https://mall.industry.siemens.com/mall/en/za/Catalog/Product/6ES7222-1BH32-0XB0" xr:uid="{12C16371-71EE-43DC-8197-FBB9E737EDAD}"/>
    <hyperlink ref="E231" r:id="rId184" display="https://mall.industry.siemens.com/mall/en/za/Catalog/Product/3LD2504-0TK53" xr:uid="{604265C7-3262-46AD-8B48-675F7FCCA87F}"/>
    <hyperlink ref="E228" r:id="rId185" display="https://mall.industry.siemens.com/mall/en/za/Catalog/Product/3LD2003-0TK53" xr:uid="{A4AF2FB3-9271-481E-B188-4A445E664E0E}"/>
    <hyperlink ref="E229" r:id="rId186" display="https://mall.industry.siemens.com/mall/en/za/Catalog/Product/3LD2103-0TK53" xr:uid="{E2140E21-3F06-4E53-B25C-4BFAEE8708B9}"/>
    <hyperlink ref="E230" r:id="rId187" display="https://mall.industry.siemens.com/mall/en/za/Catalog/Product/3LD2203-0TK53" xr:uid="{F59BC6E2-50B0-4F74-B91F-0391BDCF9DAF}"/>
    <hyperlink ref="E232" r:id="rId188" display="https://mall.industry.siemens.com/mall/en/za/Catalog/Product/3LD2704-0TK53" xr:uid="{F348BE14-0355-4729-BEA8-9AD38C697961}"/>
    <hyperlink ref="E86" r:id="rId189" display="https://mall.industry.siemens.com/mall/en/za/Catalog/Product/6SL3210-1PE11-8AL1" xr:uid="{919FEC01-053B-45BE-A3F6-EDC9C54AD903}"/>
    <hyperlink ref="E85" r:id="rId190" display="https://mall.industry.siemens.com/mall/en/za/Catalog/Product/6SL3210-1PE12-3AL1" xr:uid="{164845AA-6615-43AF-8314-615699CF34A7}"/>
    <hyperlink ref="E84" r:id="rId191" display="https://mall.industry.siemens.com/mall/en/za/Catalog/Product/6SL3210-1PE13-2AL1" xr:uid="{A45A9157-8580-49FA-819A-DF9FBCA3E1BB}"/>
    <hyperlink ref="E83" r:id="rId192" display="https://mall.industry.siemens.com/mall/en/za/Catalog/Product/6SL3210-1PE14-3AL1" xr:uid="{E3816025-04CA-4031-8633-4D17B0F5A286}"/>
    <hyperlink ref="E82" r:id="rId193" display="https://mall.industry.siemens.com/mall/en/za/Catalog/Product/6SL3210-1PE16-1AL1" xr:uid="{F22387E5-753E-44C3-8F41-34FF8B8762E2}"/>
    <hyperlink ref="E50" r:id="rId194" display="https://mall.industry.siemens.com/mall/en/za/Catalog/Product/6SL3210-5BE31-5CV0" xr:uid="{A6A7514D-BAB8-4D9B-B9A3-1DEB69231F65}"/>
    <hyperlink ref="E200" r:id="rId195" display="https://mall.industry.siemens.com/mall/en/za/Catalog/Product/3VA1020-2ED42-0AA0" xr:uid="{F0A95B8A-155A-4D7B-BE74-54D95BC03D6A}"/>
    <hyperlink ref="E202" r:id="rId196" display="https://mall.industry.siemens.com/mall/en/za/Catalog/Product/3VA1010-2ED42-0AA0" xr:uid="{5E6B9886-12B5-4891-BAFA-FB803A231B00}"/>
    <hyperlink ref="E414" r:id="rId197" display="https://www.za.endress.com/5W4C?nebp.language=en&amp;nebp.cartToken=c7f6da2f-606a-41ec-86a6-d13946111484" xr:uid="{32FC5137-FC23-45B7-B55A-428E46EA2054}"/>
    <hyperlink ref="E413" r:id="rId198" display="https://www.za.endress.com/5W4C?nebp.language=en&amp;nebp.cartToken=c7f6da2f-606a-41ec-86a6-d13946111484" xr:uid="{129F83F4-96B1-4BE9-ABDF-2C442A668098}"/>
    <hyperlink ref="E194" r:id="rId199" display="https://mall.industry.siemens.com/mall/en/za/Catalog/Product/3VA1096-2ED32-0AA0" xr:uid="{72C2240E-02E0-4854-AFFA-4AB5B9C5A566}"/>
    <hyperlink ref="E195" r:id="rId200" display="https://mall.industry.siemens.com/mall/en/za/Catalog/Product/3VA1080-2ED32-0AA0" xr:uid="{53A04FFC-162E-483D-90E9-97FF8BC25D14}"/>
    <hyperlink ref="E196" r:id="rId201" display="https://mall.industry.siemens.com/mall/en/za/Catalog/Product/3VA1010-2ED32-0AA0" xr:uid="{6FFA82B4-DFD3-4DE7-B05A-C13FB4A24234}"/>
    <hyperlink ref="E203" r:id="rId202" display="https://mall.industry.siemens.com/mall/en/za/Catalog/Product/3VA9111-0WF40" xr:uid="{692852A1-323B-4A8C-9B2E-1A002994B5EE}"/>
    <hyperlink ref="E197" r:id="rId203" tooltip="3VA9111-0WF30" display="https://mall.industry.siemens.com/mall/en/za/Catalog/Product/3VA9111-0WF30" xr:uid="{7B6B5485-7A3F-477A-8CF5-9DA6C4A1BBD3}"/>
    <hyperlink ref="E198" r:id="rId204" tooltip="3VA9157-0FK21" display="https://mall.industry.siemens.com/mall/en/za/Catalog/Product/3VA9157-0FK21" xr:uid="{7A63628B-816A-48F4-80EF-34E39139A1AD}"/>
    <hyperlink ref="E204" r:id="rId205" tooltip="3VA9157-0FK21" display="https://mall.industry.siemens.com/mall/en/za/Catalog/Product/3VA9157-0FK21" xr:uid="{0964A239-6D3E-43FF-8B66-4AF7523DC20B}"/>
    <hyperlink ref="E435" r:id="rId206" display="https://mall.industry.siemens.com/mall/en/za/Catalog/Product/7ML5050-0AB11-1DA0" xr:uid="{D3A1410B-505A-46CA-B495-AB4F5A8D281C}"/>
    <hyperlink ref="D436" r:id="rId207" display="https://mall.industry.siemens.com/mall/en/za/Catalog/Product/7ML1100-1BA30" xr:uid="{334681E0-EFA7-4F05-8B61-960E77054E1D}"/>
    <hyperlink ref="E440" r:id="rId208" display="https://www.za.endress.com/FDU90?nebp.language=en&amp;nebp.cartToken=704b6636-ab51-4254-8444-8e239d6fe982" xr:uid="{1E3C2EE6-686D-4CC3-BE3D-A197AED5C238}"/>
    <hyperlink ref="E441" r:id="rId209" display="https://www.za.endress.com/FDU91?nebp.language=en&amp;nebp.cartToken=b0a7c31b-0ce5-4ff3-9004-339757eb036e" xr:uid="{B5E1383E-DC22-4E95-B24C-7925A3B95185}"/>
    <hyperlink ref="E439" r:id="rId210" display="https://www.za.endress.com/FMU90?nebp.language=en&amp;nebp.cartToken=72330fa7-af26-45c7-860b-e3838d57ce7b" xr:uid="{C67D8394-B1F7-44CA-8546-0D15629AA442}"/>
    <hyperlink ref="E442" r:id="rId211" display="https://www.za.endress.com/FMU30?nebp.language=en&amp;nebp.cartToken=72330fa7-af26-45c7-860b-e3838d57ce7b" xr:uid="{9B148728-B00E-479C-AD46-6675C2BACDAA}"/>
    <hyperlink ref="E47" r:id="rId212" display="https://mall.industry.siemens.com/mall/en/za/Catalog/Product/6EP1961-2BA31" xr:uid="{43F3B0EA-393B-484D-8D4B-B2346DB974C8}"/>
    <hyperlink ref="E40" r:id="rId213" display="https://mall.industry.siemens.com/mall/en/za/Catalog/Product/6EP3331-6SB00-0AY0" xr:uid="{736F705B-24D7-4A70-9E2B-7B3459F8E0BA}"/>
    <hyperlink ref="E41" r:id="rId214" display="https://mall.industry.siemens.com/mall/en/za/Catalog/Product/6EP3332-6SB00-0AY0" xr:uid="{DBF868AC-3003-4798-8675-B88073EBFA8D}"/>
    <hyperlink ref="E42" r:id="rId215" display="https://mall.industry.siemens.com/mall/en/za/Catalog/Product/6EP3333-6SB00-0AY0" xr:uid="{49E25C7F-1325-4844-80CB-894CABE62D78}"/>
    <hyperlink ref="E10" r:id="rId216" display="https://mall.industry.siemens.com/mall/en/za/Catalog/Product/6ED1052-1HB08-0BA0" xr:uid="{D7E1A3A8-A91D-4CBD-9377-42AEFAF368EE}"/>
    <hyperlink ref="E11" r:id="rId217" display="https://mall.industry.siemens.com/mall/en/za/Catalog/Product/6ED1052-1FB08-0BA0" xr:uid="{41D0BA3A-E608-4C7C-80C6-1EFB263A7CFF}"/>
    <hyperlink ref="E65" r:id="rId218" display="https://mall.industry.siemens.com/mall/en/za/Catalog/Product/6SL3203-0CE13-2AA0" xr:uid="{1AD80989-214D-4AB6-AD52-493BC6483255}"/>
    <hyperlink ref="E61" r:id="rId219" display="https://mall.industry.siemens.com/mall/en/za/Catalog/Product/6SE6400-3TC05-4DD0" xr:uid="{BA0FBF21-49E1-4594-9CAE-0CFE5CAF988B}"/>
    <hyperlink ref="E62" r:id="rId220" display="https://mall.industry.siemens.com/mall/en/za/Catalog/Product/6SL3202-0AE23-8CA0" xr:uid="{97A9DD5A-C889-477B-9946-1815E5695EEB}"/>
    <hyperlink ref="E64" r:id="rId221" display="https://mall.industry.siemens.com/mall/en/za/Catalog/Product/6SL3202-0AE18-8CA0" xr:uid="{D0897973-499B-4779-89CA-87802245A9F5}"/>
    <hyperlink ref="E63" r:id="rId222" display="https://mall.industry.siemens.com/mall/en/za/Catalog/Product/6SL3202-0AE21-8CA0" xr:uid="{AE40FC04-048F-4CD5-A1E9-0250D7A5D975}"/>
    <hyperlink ref="E73" r:id="rId223" display="https://mall.industry.siemens.com/mall/en/za/Catalog/Product/6SL3211-1PE27-5AL0" xr:uid="{87D85D8D-43D8-4839-9FD0-DD81AECB95A3}"/>
    <hyperlink ref="E436" r:id="rId224" display="https://mall.industry.siemens.com/mall/en/za/Catalog/Product/7ML1100-1BA30" xr:uid="{22E0926F-D01C-4256-BC14-2AD35E7180B5}"/>
    <hyperlink ref="E80" r:id="rId225" display="https://mall.industry.siemens.com/mall/en/za/Catalog/Product/6SL3210-1PE21-1AL0" xr:uid="{3BD31AB6-CA4D-436F-8A71-FFB9800EB3C9}"/>
    <hyperlink ref="E407" r:id="rId226" display="https://mall.industry.siemens.com/mall/en/za/Catalog/Product/7MF1567-3CA00-2AA1" xr:uid="{A053F5AD-062E-4270-A5F6-80C9315672D7}"/>
    <hyperlink ref="E172" r:id="rId227" display="https://mall.industry.siemens.com/mall/en/za/Catalog/Product/3SU1200-6KB10-1AA0" xr:uid="{1104DCA7-432B-4C25-A925-97842CA574B2}"/>
    <hyperlink ref="E168" r:id="rId228" display="https://mall.industry.siemens.com/mall/en/za/Catalog/Product/3SU1100-2BF60-1BA0" xr:uid="{63C52631-46E1-4774-90A5-7A2972253916}"/>
    <hyperlink ref="E169" r:id="rId229" display="https://mall.industry.siemens.com/mall/en/za/Catalog/Product/3SU1100-2BL60-1NA0" xr:uid="{8B9AC70D-F98E-463A-87FF-F59169DBA0FA}"/>
  </hyperlinks>
  <pageMargins left="0.7" right="0.7" top="0.75" bottom="0.75" header="0.3" footer="0.3"/>
  <pageSetup paperSize="9" orientation="portrait" r:id="rId230"/>
  <drawing r:id="rId231"/>
  <legacyDrawing r:id="rId23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3" name="Button 1">
              <controlPr defaultSize="0" print="0" autoFill="0" autoPict="0" macro="[0]!Update">
                <anchor moveWithCells="1" sizeWithCells="1">
                  <from>
                    <xdr:col>10</xdr:col>
                    <xdr:colOff>160020</xdr:colOff>
                    <xdr:row>1</xdr:row>
                    <xdr:rowOff>45720</xdr:rowOff>
                  </from>
                  <to>
                    <xdr:col>10</xdr:col>
                    <xdr:colOff>1478280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860B9-435F-4743-9143-4B5EDF879A05}">
  <sheetPr codeName="Sheet3"/>
  <dimension ref="A1:K53"/>
  <sheetViews>
    <sheetView view="pageBreakPreview" topLeftCell="A13" zoomScaleNormal="100" zoomScaleSheetLayoutView="100" workbookViewId="0">
      <selection activeCell="B44" sqref="B44"/>
    </sheetView>
  </sheetViews>
  <sheetFormatPr defaultRowHeight="14.4" x14ac:dyDescent="0.3"/>
  <cols>
    <col min="1" max="1" width="16.44140625" customWidth="1"/>
    <col min="2" max="2" width="30.109375" customWidth="1"/>
    <col min="3" max="3" width="11.6640625" customWidth="1"/>
    <col min="4" max="4" width="11.109375" customWidth="1"/>
    <col min="5" max="5" width="13.33203125" customWidth="1"/>
    <col min="6" max="6" width="19" customWidth="1"/>
    <col min="8" max="8" width="24.109375" customWidth="1"/>
    <col min="9" max="9" width="43.88671875" customWidth="1"/>
    <col min="10" max="10" width="21.44140625" customWidth="1"/>
    <col min="11" max="11" width="39.109375" customWidth="1"/>
  </cols>
  <sheetData>
    <row r="1" spans="1:11" ht="33.6" x14ac:dyDescent="0.65">
      <c r="A1" s="354"/>
      <c r="B1" s="354"/>
      <c r="C1" s="354"/>
      <c r="E1" s="355" t="s">
        <v>933</v>
      </c>
      <c r="F1" s="355"/>
    </row>
    <row r="2" spans="1:11" ht="40.5" customHeight="1" thickBot="1" x14ac:dyDescent="0.35">
      <c r="A2" s="356"/>
      <c r="B2" s="356"/>
      <c r="C2" s="356"/>
      <c r="H2" t="s">
        <v>1024</v>
      </c>
      <c r="J2" t="s">
        <v>1025</v>
      </c>
    </row>
    <row r="3" spans="1:11" ht="15" x14ac:dyDescent="0.35">
      <c r="A3" t="s">
        <v>934</v>
      </c>
      <c r="B3" s="152" t="s">
        <v>935</v>
      </c>
      <c r="E3" s="153" t="s">
        <v>936</v>
      </c>
      <c r="F3" s="229">
        <v>44062</v>
      </c>
      <c r="H3" s="220" t="s">
        <v>577</v>
      </c>
      <c r="I3" s="221" t="s">
        <v>1030</v>
      </c>
      <c r="J3" s="220" t="s">
        <v>999</v>
      </c>
      <c r="K3" s="221" t="s">
        <v>1000</v>
      </c>
    </row>
    <row r="4" spans="1:11" ht="15" x14ac:dyDescent="0.35">
      <c r="B4" s="152" t="s">
        <v>937</v>
      </c>
      <c r="E4" s="153" t="s">
        <v>938</v>
      </c>
      <c r="F4" s="237" t="s">
        <v>1044</v>
      </c>
      <c r="H4" s="222" t="s">
        <v>1020</v>
      </c>
      <c r="I4" s="223" t="s">
        <v>1031</v>
      </c>
      <c r="J4" s="222" t="s">
        <v>1001</v>
      </c>
      <c r="K4" s="223" t="s">
        <v>969</v>
      </c>
    </row>
    <row r="5" spans="1:11" ht="15" x14ac:dyDescent="0.35">
      <c r="A5" s="152" t="s">
        <v>939</v>
      </c>
      <c r="B5" s="154" t="s">
        <v>1026</v>
      </c>
      <c r="E5" s="155" t="s">
        <v>940</v>
      </c>
      <c r="F5" s="230" t="s">
        <v>968</v>
      </c>
      <c r="H5" s="222" t="s">
        <v>1021</v>
      </c>
      <c r="I5" s="223" t="s">
        <v>1032</v>
      </c>
      <c r="J5" s="222" t="s">
        <v>1005</v>
      </c>
      <c r="K5" s="223" t="s">
        <v>1019</v>
      </c>
    </row>
    <row r="6" spans="1:11" ht="15" x14ac:dyDescent="0.35">
      <c r="A6" t="s">
        <v>943</v>
      </c>
      <c r="B6" t="s">
        <v>1022</v>
      </c>
      <c r="E6" s="155" t="s">
        <v>942</v>
      </c>
      <c r="F6" s="231">
        <f>F3+30</f>
        <v>44092</v>
      </c>
      <c r="H6" s="222" t="s">
        <v>1022</v>
      </c>
      <c r="I6" s="223" t="s">
        <v>1033</v>
      </c>
      <c r="J6" s="222" t="s">
        <v>1002</v>
      </c>
      <c r="K6" s="223" t="s">
        <v>1017</v>
      </c>
    </row>
    <row r="7" spans="1:11" ht="15" x14ac:dyDescent="0.35">
      <c r="A7" s="152" t="s">
        <v>941</v>
      </c>
      <c r="B7" s="232" t="str">
        <f>_xlfn.XLOOKUP(B6,H:H,I:I)</f>
        <v>tinus.spangenberg@alveoenergy.co.za</v>
      </c>
      <c r="E7" s="155"/>
      <c r="F7" s="156"/>
      <c r="H7" s="222" t="s">
        <v>1023</v>
      </c>
      <c r="I7" s="256" t="s">
        <v>1041</v>
      </c>
      <c r="J7" s="222" t="s">
        <v>1003</v>
      </c>
      <c r="K7" s="223" t="s">
        <v>1016</v>
      </c>
    </row>
    <row r="8" spans="1:11" x14ac:dyDescent="0.3">
      <c r="H8" s="222"/>
      <c r="I8" s="227"/>
      <c r="J8" s="222" t="s">
        <v>1004</v>
      </c>
      <c r="K8" s="223" t="s">
        <v>1015</v>
      </c>
    </row>
    <row r="9" spans="1:11" x14ac:dyDescent="0.3">
      <c r="A9" s="357" t="s">
        <v>944</v>
      </c>
      <c r="B9" s="357"/>
      <c r="H9" s="222"/>
      <c r="I9" s="227"/>
      <c r="J9" s="222" t="s">
        <v>1006</v>
      </c>
      <c r="K9" s="223" t="s">
        <v>1013</v>
      </c>
    </row>
    <row r="10" spans="1:11" x14ac:dyDescent="0.3">
      <c r="A10" t="s">
        <v>1039</v>
      </c>
      <c r="H10" s="222"/>
      <c r="I10" s="227"/>
      <c r="J10" s="222" t="s">
        <v>1007</v>
      </c>
      <c r="K10" s="223" t="s">
        <v>1012</v>
      </c>
    </row>
    <row r="11" spans="1:11" x14ac:dyDescent="0.3">
      <c r="A11" t="s">
        <v>1040</v>
      </c>
      <c r="B11" t="s">
        <v>1045</v>
      </c>
      <c r="H11" s="222"/>
      <c r="I11" s="227"/>
      <c r="J11" s="222" t="s">
        <v>1008</v>
      </c>
      <c r="K11" s="223" t="s">
        <v>1011</v>
      </c>
    </row>
    <row r="12" spans="1:11" x14ac:dyDescent="0.3">
      <c r="A12" s="152" t="s">
        <v>945</v>
      </c>
      <c r="B12" s="152" t="s">
        <v>999</v>
      </c>
      <c r="H12" s="222"/>
      <c r="I12" s="227"/>
      <c r="J12" s="222" t="s">
        <v>1009</v>
      </c>
      <c r="K12" s="223" t="s">
        <v>1010</v>
      </c>
    </row>
    <row r="13" spans="1:11" ht="15" thickBot="1" x14ac:dyDescent="0.35">
      <c r="A13" s="152" t="s">
        <v>946</v>
      </c>
      <c r="B13" s="152" t="s">
        <v>968</v>
      </c>
      <c r="H13" s="224"/>
      <c r="I13" s="228"/>
      <c r="J13" s="224" t="s">
        <v>1014</v>
      </c>
      <c r="K13" s="225" t="s">
        <v>1018</v>
      </c>
    </row>
    <row r="14" spans="1:11" x14ac:dyDescent="0.3">
      <c r="A14" t="s">
        <v>934</v>
      </c>
      <c r="B14" s="152" t="s">
        <v>935</v>
      </c>
    </row>
    <row r="15" spans="1:11" x14ac:dyDescent="0.3">
      <c r="B15" s="152" t="s">
        <v>937</v>
      </c>
    </row>
    <row r="16" spans="1:11" x14ac:dyDescent="0.3">
      <c r="A16" s="152" t="s">
        <v>939</v>
      </c>
      <c r="B16" s="157" t="s">
        <v>1026</v>
      </c>
    </row>
    <row r="17" spans="1:6" x14ac:dyDescent="0.3">
      <c r="A17" s="152" t="s">
        <v>941</v>
      </c>
      <c r="B17" s="226" t="str">
        <f>_xlfn.XLOOKUP(B12,J:J,K:K)</f>
        <v>jeandre@alveowater.co.za</v>
      </c>
    </row>
    <row r="19" spans="1:6" x14ac:dyDescent="0.3">
      <c r="A19" s="358" t="s">
        <v>947</v>
      </c>
      <c r="B19" s="359"/>
      <c r="C19" s="287" t="s">
        <v>948</v>
      </c>
      <c r="D19" s="287" t="s">
        <v>949</v>
      </c>
      <c r="E19" s="287" t="s">
        <v>950</v>
      </c>
      <c r="F19" s="288" t="s">
        <v>951</v>
      </c>
    </row>
    <row r="20" spans="1:6" x14ac:dyDescent="0.3">
      <c r="A20" s="352" t="str">
        <f>WTP!G552</f>
        <v>MCC</v>
      </c>
      <c r="B20" s="353"/>
      <c r="C20" s="297">
        <v>1</v>
      </c>
      <c r="D20" s="297" t="s">
        <v>952</v>
      </c>
      <c r="E20" s="298">
        <f>WTP!J552</f>
        <v>2724722.4736842108</v>
      </c>
      <c r="F20" s="289">
        <f>+IF(E20="","",E20*C20)</f>
        <v>2724722.4736842108</v>
      </c>
    </row>
    <row r="21" spans="1:6" x14ac:dyDescent="0.3">
      <c r="A21" s="352" t="str">
        <f>WTP!G553</f>
        <v>Design</v>
      </c>
      <c r="B21" s="353"/>
      <c r="C21" s="297">
        <v>1</v>
      </c>
      <c r="D21" s="297" t="s">
        <v>952</v>
      </c>
      <c r="E21" s="298">
        <f>WTP!J553</f>
        <v>0</v>
      </c>
      <c r="F21" s="289">
        <f>+IF(E21="","",E21*C21)</f>
        <v>0</v>
      </c>
    </row>
    <row r="22" spans="1:6" x14ac:dyDescent="0.3">
      <c r="A22" s="290" t="str">
        <f>WTP!G554</f>
        <v xml:space="preserve">Commissioning </v>
      </c>
      <c r="B22" s="264"/>
      <c r="C22" s="297">
        <v>1</v>
      </c>
      <c r="D22" s="297" t="s">
        <v>952</v>
      </c>
      <c r="E22" s="298">
        <f>WTP!J554</f>
        <v>0</v>
      </c>
      <c r="F22" s="289">
        <f t="shared" ref="F22:F31" si="0">+IF(E22="","",E22*C22)</f>
        <v>0</v>
      </c>
    </row>
    <row r="23" spans="1:6" x14ac:dyDescent="0.3">
      <c r="A23" s="290" t="str">
        <f>WTP!G555</f>
        <v>Instrumentation</v>
      </c>
      <c r="B23" s="264"/>
      <c r="C23" s="297">
        <v>1</v>
      </c>
      <c r="D23" s="297" t="s">
        <v>952</v>
      </c>
      <c r="E23" s="298">
        <f>WTP!J555</f>
        <v>0</v>
      </c>
      <c r="F23" s="289">
        <f t="shared" si="0"/>
        <v>0</v>
      </c>
    </row>
    <row r="24" spans="1:6" x14ac:dyDescent="0.3">
      <c r="A24" s="290" t="str">
        <f>WTP!G556</f>
        <v>Panel Manufacturing</v>
      </c>
      <c r="B24" s="264"/>
      <c r="C24" s="297">
        <v>1</v>
      </c>
      <c r="D24" s="297" t="s">
        <v>952</v>
      </c>
      <c r="E24" s="298">
        <f>WTP!J556</f>
        <v>0</v>
      </c>
      <c r="F24" s="289">
        <f t="shared" si="0"/>
        <v>0</v>
      </c>
    </row>
    <row r="25" spans="1:6" x14ac:dyDescent="0.3">
      <c r="A25" s="290" t="str">
        <f>WTP!G557</f>
        <v>Software Development</v>
      </c>
      <c r="B25" s="264"/>
      <c r="C25" s="297">
        <v>1</v>
      </c>
      <c r="D25" s="297" t="s">
        <v>952</v>
      </c>
      <c r="E25" s="298">
        <f>WTP!J557</f>
        <v>0</v>
      </c>
      <c r="F25" s="289">
        <f t="shared" si="0"/>
        <v>0</v>
      </c>
    </row>
    <row r="26" spans="1:6" x14ac:dyDescent="0.3">
      <c r="A26" s="290" t="str">
        <f>WTP!G558</f>
        <v>Workshop Installation</v>
      </c>
      <c r="B26" s="264"/>
      <c r="C26" s="297">
        <v>1</v>
      </c>
      <c r="D26" s="297" t="s">
        <v>952</v>
      </c>
      <c r="E26" s="298">
        <f>WTP!J558</f>
        <v>631.57894736842104</v>
      </c>
      <c r="F26" s="289">
        <f t="shared" si="0"/>
        <v>631.57894736842104</v>
      </c>
    </row>
    <row r="27" spans="1:6" x14ac:dyDescent="0.3">
      <c r="A27" s="290" t="str">
        <f>WTP!G559</f>
        <v>Site Installation</v>
      </c>
      <c r="B27" s="264"/>
      <c r="C27" s="297">
        <v>1</v>
      </c>
      <c r="D27" s="297" t="s">
        <v>952</v>
      </c>
      <c r="E27" s="298">
        <f>WTP!J559</f>
        <v>0</v>
      </c>
      <c r="F27" s="289">
        <f t="shared" si="0"/>
        <v>0</v>
      </c>
    </row>
    <row r="28" spans="1:6" x14ac:dyDescent="0.3">
      <c r="A28" s="291" t="str">
        <f>WTP!G560</f>
        <v>Cable + Trays</v>
      </c>
      <c r="B28" s="267"/>
      <c r="C28" s="297">
        <v>1</v>
      </c>
      <c r="D28" s="297" t="s">
        <v>952</v>
      </c>
      <c r="E28" s="299">
        <f>WTP!J560</f>
        <v>126.05263157894737</v>
      </c>
      <c r="F28" s="289">
        <f t="shared" si="0"/>
        <v>126.05263157894737</v>
      </c>
    </row>
    <row r="29" spans="1:6" x14ac:dyDescent="0.3">
      <c r="A29" s="291" t="str">
        <f>WTP!G561</f>
        <v>Remote Monitoring</v>
      </c>
      <c r="B29" s="267"/>
      <c r="C29" s="297">
        <v>1</v>
      </c>
      <c r="D29" s="297" t="s">
        <v>952</v>
      </c>
      <c r="E29" s="299">
        <f>WTP!J561</f>
        <v>0</v>
      </c>
      <c r="F29" s="289">
        <f t="shared" si="0"/>
        <v>0</v>
      </c>
    </row>
    <row r="30" spans="1:6" x14ac:dyDescent="0.3">
      <c r="A30" s="291" t="str">
        <f>WTP!G562</f>
        <v>Coc</v>
      </c>
      <c r="B30" s="267"/>
      <c r="C30" s="297">
        <v>1</v>
      </c>
      <c r="D30" s="297" t="s">
        <v>952</v>
      </c>
      <c r="E30" s="299">
        <f>WTP!J562</f>
        <v>0</v>
      </c>
      <c r="F30" s="289">
        <f t="shared" si="0"/>
        <v>0</v>
      </c>
    </row>
    <row r="31" spans="1:6" x14ac:dyDescent="0.3">
      <c r="A31" s="292"/>
      <c r="B31" s="293"/>
      <c r="C31" s="294"/>
      <c r="D31" s="294"/>
      <c r="E31" s="295"/>
      <c r="F31" s="296" t="str">
        <f t="shared" si="0"/>
        <v/>
      </c>
    </row>
    <row r="32" spans="1:6" ht="15" x14ac:dyDescent="0.35">
      <c r="A32" s="240"/>
      <c r="B32" s="252"/>
      <c r="C32" s="240"/>
      <c r="D32" s="253" t="s">
        <v>953</v>
      </c>
      <c r="E32" s="254" t="s">
        <v>954</v>
      </c>
      <c r="F32" s="255">
        <f>SUM(F20:F31)</f>
        <v>2725480.1052631582</v>
      </c>
    </row>
    <row r="33" spans="1:6" ht="15" x14ac:dyDescent="0.35">
      <c r="A33" s="233" t="s">
        <v>955</v>
      </c>
      <c r="B33" s="234"/>
      <c r="C33" s="235"/>
      <c r="D33" s="241"/>
      <c r="E33" s="242" t="s">
        <v>956</v>
      </c>
      <c r="F33" s="243">
        <v>0.15</v>
      </c>
    </row>
    <row r="34" spans="1:6" ht="15" x14ac:dyDescent="0.35">
      <c r="A34" s="265" t="s">
        <v>957</v>
      </c>
      <c r="B34" s="259"/>
      <c r="C34" s="266"/>
      <c r="D34" s="244"/>
      <c r="E34" s="242" t="s">
        <v>958</v>
      </c>
      <c r="F34" s="245">
        <f>ROUND(F32*F33,2)</f>
        <v>408822.02</v>
      </c>
    </row>
    <row r="35" spans="1:6" ht="15.6" thickBot="1" x14ac:dyDescent="0.4">
      <c r="A35" s="265" t="s">
        <v>959</v>
      </c>
      <c r="B35" s="259"/>
      <c r="C35" s="266"/>
      <c r="D35" s="244"/>
      <c r="E35" s="246" t="s">
        <v>1</v>
      </c>
      <c r="F35" s="247">
        <v>0</v>
      </c>
    </row>
    <row r="36" spans="1:6" ht="15.6" thickTop="1" x14ac:dyDescent="0.35">
      <c r="A36" s="265" t="s">
        <v>960</v>
      </c>
      <c r="B36" s="259"/>
      <c r="C36" s="266"/>
      <c r="D36" s="244"/>
      <c r="E36" s="248" t="s">
        <v>961</v>
      </c>
      <c r="F36" s="249">
        <f>F32+F34+F35</f>
        <v>3134302.1252631582</v>
      </c>
    </row>
    <row r="37" spans="1:6" x14ac:dyDescent="0.3">
      <c r="A37" s="274"/>
      <c r="B37" s="262"/>
      <c r="C37" s="262"/>
      <c r="D37" s="251"/>
      <c r="E37" s="239"/>
      <c r="F37" s="239"/>
    </row>
    <row r="38" spans="1:6" x14ac:dyDescent="0.3">
      <c r="A38" s="265"/>
      <c r="B38" s="259"/>
      <c r="C38" s="266"/>
      <c r="D38" s="239"/>
      <c r="E38" s="260"/>
      <c r="F38" s="260"/>
    </row>
    <row r="39" spans="1:6" x14ac:dyDescent="0.3">
      <c r="A39" s="276"/>
      <c r="B39" s="263"/>
      <c r="C39" s="277"/>
      <c r="D39" s="239"/>
      <c r="E39" s="261"/>
      <c r="F39" s="261"/>
    </row>
    <row r="40" spans="1:6" x14ac:dyDescent="0.3">
      <c r="A40" s="265"/>
      <c r="B40" s="259"/>
      <c r="C40" s="266"/>
      <c r="D40" s="239"/>
      <c r="E40" s="239"/>
      <c r="F40" s="239"/>
    </row>
    <row r="41" spans="1:6" x14ac:dyDescent="0.3">
      <c r="A41" s="271"/>
      <c r="B41" s="272"/>
      <c r="C41" s="273"/>
      <c r="D41" s="239"/>
      <c r="E41" s="239"/>
      <c r="F41" s="239"/>
    </row>
    <row r="42" spans="1:6" x14ac:dyDescent="0.3">
      <c r="A42" s="302" t="s">
        <v>1046</v>
      </c>
    </row>
    <row r="43" spans="1:6" x14ac:dyDescent="0.3">
      <c r="A43" t="s">
        <v>1047</v>
      </c>
    </row>
    <row r="46" spans="1:6" x14ac:dyDescent="0.3">
      <c r="A46" s="236" t="s">
        <v>1034</v>
      </c>
      <c r="B46" s="238"/>
      <c r="C46" s="238"/>
      <c r="D46" s="278"/>
      <c r="E46" s="278"/>
      <c r="F46" s="279"/>
    </row>
    <row r="47" spans="1:6" x14ac:dyDescent="0.3">
      <c r="A47" s="258"/>
      <c r="B47" s="259"/>
      <c r="C47" s="259"/>
      <c r="D47" s="240"/>
      <c r="E47" s="240"/>
      <c r="F47" s="257"/>
    </row>
    <row r="48" spans="1:6" x14ac:dyDescent="0.3">
      <c r="A48" s="280" t="s">
        <v>1037</v>
      </c>
      <c r="B48" s="263"/>
      <c r="C48" s="263"/>
      <c r="D48" s="263" t="s">
        <v>1038</v>
      </c>
      <c r="E48" s="263"/>
      <c r="F48" s="281"/>
    </row>
    <row r="49" spans="1:6" x14ac:dyDescent="0.3">
      <c r="A49" s="347" t="s">
        <v>962</v>
      </c>
      <c r="B49" s="348"/>
      <c r="C49" s="348"/>
      <c r="D49" s="348" t="s">
        <v>1035</v>
      </c>
      <c r="E49" s="348"/>
      <c r="F49" s="349"/>
    </row>
    <row r="51" spans="1:6" x14ac:dyDescent="0.3">
      <c r="A51" s="350" t="s">
        <v>963</v>
      </c>
      <c r="B51" s="350"/>
      <c r="C51" s="350"/>
      <c r="D51" s="350"/>
      <c r="E51" s="350"/>
      <c r="F51" s="350"/>
    </row>
    <row r="52" spans="1:6" x14ac:dyDescent="0.3">
      <c r="A52" s="350" t="s">
        <v>964</v>
      </c>
      <c r="B52" s="350"/>
      <c r="C52" s="350"/>
      <c r="D52" s="350"/>
      <c r="E52" s="350"/>
      <c r="F52" s="350"/>
    </row>
    <row r="53" spans="1:6" x14ac:dyDescent="0.3">
      <c r="A53" s="351" t="str">
        <f>CONCATENATE(B6,", ",B7,", ",B5)</f>
        <v>Tinus Spangenberg, tinus.spangenberg@alveoenergy.co.za, 021 851 2576</v>
      </c>
      <c r="B53" s="351"/>
      <c r="C53" s="351"/>
      <c r="D53" s="351"/>
      <c r="E53" s="351"/>
      <c r="F53" s="351"/>
    </row>
  </sheetData>
  <mergeCells count="12">
    <mergeCell ref="A20:B20"/>
    <mergeCell ref="A21:B21"/>
    <mergeCell ref="A1:C1"/>
    <mergeCell ref="E1:F1"/>
    <mergeCell ref="A2:C2"/>
    <mergeCell ref="A9:B9"/>
    <mergeCell ref="A19:B19"/>
    <mergeCell ref="A49:C49"/>
    <mergeCell ref="D49:F49"/>
    <mergeCell ref="A51:F51"/>
    <mergeCell ref="A52:F52"/>
    <mergeCell ref="A53:F53"/>
  </mergeCells>
  <conditionalFormatting sqref="A20:A31 E20:F31 B23 B25 B27 B29 B31">
    <cfRule type="expression" dxfId="2" priority="2" stopIfTrue="1">
      <formula>MOD(ROW(),2)=1</formula>
    </cfRule>
  </conditionalFormatting>
  <conditionalFormatting sqref="C20:D31">
    <cfRule type="expression" dxfId="1" priority="1" stopIfTrue="1">
      <formula>MOD(ROW(),2)=1</formula>
    </cfRule>
  </conditionalFormatting>
  <dataValidations count="2">
    <dataValidation type="list" allowBlank="1" showInputMessage="1" showErrorMessage="1" sqref="B12" xr:uid="{0FC22E9D-654D-4F6D-9605-2B1611CE41F7}">
      <formula1>$J$3:$J$13</formula1>
    </dataValidation>
    <dataValidation type="list" allowBlank="1" showInputMessage="1" showErrorMessage="1" sqref="B6" xr:uid="{ADF5FCB1-9ED8-40FF-87AC-5B9C6F868E7E}">
      <formula1>$H$3:$H$7</formula1>
    </dataValidation>
  </dataValidations>
  <hyperlinks>
    <hyperlink ref="B7" r:id="rId1" display="morne@alveoenergy.co.za" xr:uid="{C8884261-F69E-4D5D-BBFF-9098594902AA}"/>
    <hyperlink ref="K3" r:id="rId2" xr:uid="{F2EEDDB2-FF05-4DFB-962C-7BA0CD45045C}"/>
    <hyperlink ref="K12" r:id="rId3" xr:uid="{035E656F-631C-41BC-AB30-E4107E94867C}"/>
    <hyperlink ref="K11" r:id="rId4" xr:uid="{83ADA7F3-DF6B-4B16-815F-ECEDB6B5916A}"/>
    <hyperlink ref="K10" r:id="rId5" xr:uid="{8BBEFF83-DEA1-4E70-937A-B60B704B46EB}"/>
    <hyperlink ref="K9" r:id="rId6" xr:uid="{AABC676D-E0D5-46E2-B24A-9BACA59422CA}"/>
    <hyperlink ref="K8" r:id="rId7" xr:uid="{58E69CB8-24A6-44E9-A999-A329422DC2E0}"/>
    <hyperlink ref="K7" r:id="rId8" xr:uid="{39846424-6D9C-4C3A-B3E8-430D5453D0A4}"/>
    <hyperlink ref="K6" r:id="rId9" xr:uid="{C67CAB74-6B2E-438E-B4C2-575B520A497C}"/>
    <hyperlink ref="K5" r:id="rId10" xr:uid="{56DF4935-958A-4B41-BB6B-CD92B0CAEA2C}"/>
    <hyperlink ref="K13" r:id="rId11" xr:uid="{42FF83A0-6AAB-4B0E-92F2-898AF3F250E8}"/>
    <hyperlink ref="K4" r:id="rId12" xr:uid="{01AA0BDB-C5FD-4AB8-AAEC-39834C606D90}"/>
    <hyperlink ref="I3" r:id="rId13" xr:uid="{09FCDD1D-4C49-429D-ADB9-9172EFDBBD95}"/>
    <hyperlink ref="I4" r:id="rId14" xr:uid="{318E9C12-25AA-407D-B586-571AF8DDBD3B}"/>
    <hyperlink ref="I5" r:id="rId15" xr:uid="{DFD444E3-4823-4DD6-872F-6CD615463889}"/>
    <hyperlink ref="I6" r:id="rId16" xr:uid="{D5979AB7-5016-444A-8620-6FF04886E2C4}"/>
    <hyperlink ref="I7" r:id="rId17" xr:uid="{F68AF800-A06D-4761-BE9F-D68B063AD0ED}"/>
  </hyperlinks>
  <pageMargins left="0.7" right="0.7" top="0.75" bottom="0.75" header="0.3" footer="0.3"/>
  <pageSetup paperSize="9" scale="81" orientation="portrait" r:id="rId18"/>
  <drawing r:id="rId1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CAA2-A5A5-4B0D-998E-89975379BCB3}">
  <sheetPr codeName="Sheet4"/>
  <dimension ref="A1:I53"/>
  <sheetViews>
    <sheetView view="pageBreakPreview" topLeftCell="A19" zoomScaleNormal="100" zoomScaleSheetLayoutView="100" workbookViewId="0">
      <selection activeCell="K9" sqref="K9"/>
    </sheetView>
  </sheetViews>
  <sheetFormatPr defaultRowHeight="14.4" x14ac:dyDescent="0.3"/>
  <cols>
    <col min="1" max="1" width="16.44140625" customWidth="1"/>
    <col min="2" max="2" width="30.109375" customWidth="1"/>
    <col min="3" max="3" width="11.6640625" customWidth="1"/>
    <col min="4" max="4" width="11.109375" customWidth="1"/>
    <col min="5" max="5" width="13.33203125" customWidth="1"/>
    <col min="6" max="6" width="19" customWidth="1"/>
    <col min="8" max="8" width="20.44140625" customWidth="1"/>
    <col min="9" max="9" width="30" customWidth="1"/>
  </cols>
  <sheetData>
    <row r="1" spans="1:9" ht="33.6" x14ac:dyDescent="0.65">
      <c r="A1" s="354"/>
      <c r="B1" s="354"/>
      <c r="C1" s="354"/>
      <c r="E1" s="355" t="s">
        <v>933</v>
      </c>
      <c r="F1" s="355"/>
    </row>
    <row r="2" spans="1:9" ht="40.5" customHeight="1" thickBot="1" x14ac:dyDescent="0.35">
      <c r="A2" s="356"/>
      <c r="B2" s="356"/>
      <c r="C2" s="356"/>
      <c r="H2" t="s">
        <v>1024</v>
      </c>
    </row>
    <row r="3" spans="1:9" ht="15" x14ac:dyDescent="0.35">
      <c r="A3" t="s">
        <v>934</v>
      </c>
      <c r="B3" s="152" t="s">
        <v>935</v>
      </c>
      <c r="E3" s="153" t="s">
        <v>936</v>
      </c>
      <c r="F3" s="229">
        <v>43986</v>
      </c>
      <c r="H3" s="220" t="s">
        <v>577</v>
      </c>
      <c r="I3" s="221" t="s">
        <v>1030</v>
      </c>
    </row>
    <row r="4" spans="1:9" ht="15" x14ac:dyDescent="0.35">
      <c r="B4" s="152" t="s">
        <v>937</v>
      </c>
      <c r="E4" s="153" t="s">
        <v>938</v>
      </c>
      <c r="F4" s="230" t="s">
        <v>1036</v>
      </c>
      <c r="H4" s="222" t="s">
        <v>1020</v>
      </c>
      <c r="I4" s="223" t="s">
        <v>1031</v>
      </c>
    </row>
    <row r="5" spans="1:9" ht="15" x14ac:dyDescent="0.35">
      <c r="A5" s="152" t="s">
        <v>939</v>
      </c>
      <c r="B5" s="154" t="s">
        <v>1026</v>
      </c>
      <c r="E5" s="155" t="s">
        <v>940</v>
      </c>
      <c r="F5" s="230" t="s">
        <v>968</v>
      </c>
      <c r="H5" s="222" t="s">
        <v>1021</v>
      </c>
      <c r="I5" s="223" t="s">
        <v>1032</v>
      </c>
    </row>
    <row r="6" spans="1:9" ht="15" x14ac:dyDescent="0.35">
      <c r="A6" s="152" t="s">
        <v>943</v>
      </c>
      <c r="B6" t="s">
        <v>577</v>
      </c>
      <c r="E6" s="155" t="s">
        <v>942</v>
      </c>
      <c r="F6" s="231">
        <f>F3+30</f>
        <v>44016</v>
      </c>
      <c r="H6" s="222" t="s">
        <v>1022</v>
      </c>
      <c r="I6" s="223" t="s">
        <v>1033</v>
      </c>
    </row>
    <row r="7" spans="1:9" ht="15" x14ac:dyDescent="0.35">
      <c r="A7" s="152" t="s">
        <v>941</v>
      </c>
      <c r="B7" s="53" t="str">
        <f>_xlfn.XLOOKUP(B6,H:H,I:I)</f>
        <v>morne.viljoen@alveoenergy.co.za</v>
      </c>
      <c r="E7" s="155"/>
      <c r="F7" s="156"/>
      <c r="H7" s="222" t="s">
        <v>1023</v>
      </c>
      <c r="I7" s="256" t="s">
        <v>1041</v>
      </c>
    </row>
    <row r="8" spans="1:9" x14ac:dyDescent="0.3">
      <c r="H8" s="222"/>
      <c r="I8" s="227"/>
    </row>
    <row r="9" spans="1:9" x14ac:dyDescent="0.3">
      <c r="A9" s="360" t="s">
        <v>944</v>
      </c>
      <c r="B9" s="360"/>
      <c r="H9" s="222"/>
      <c r="I9" s="227"/>
    </row>
    <row r="10" spans="1:9" x14ac:dyDescent="0.3">
      <c r="A10" s="285" t="s">
        <v>1039</v>
      </c>
      <c r="B10" s="152"/>
      <c r="H10" s="222"/>
      <c r="I10" s="227"/>
    </row>
    <row r="11" spans="1:9" x14ac:dyDescent="0.3">
      <c r="A11" s="285" t="s">
        <v>1040</v>
      </c>
      <c r="B11" s="152"/>
      <c r="H11" s="222"/>
      <c r="I11" s="227"/>
    </row>
    <row r="12" spans="1:9" x14ac:dyDescent="0.3">
      <c r="A12" s="152" t="s">
        <v>945</v>
      </c>
      <c r="B12" s="152"/>
      <c r="H12" s="222"/>
      <c r="I12" s="227"/>
    </row>
    <row r="13" spans="1:9" ht="15" thickBot="1" x14ac:dyDescent="0.35">
      <c r="A13" s="152" t="s">
        <v>946</v>
      </c>
      <c r="B13" s="152"/>
      <c r="H13" s="224"/>
      <c r="I13" s="228"/>
    </row>
    <row r="14" spans="1:9" x14ac:dyDescent="0.3">
      <c r="A14" t="s">
        <v>934</v>
      </c>
      <c r="B14" s="157"/>
    </row>
    <row r="15" spans="1:9" x14ac:dyDescent="0.3">
      <c r="B15" s="158"/>
    </row>
    <row r="16" spans="1:9" x14ac:dyDescent="0.3">
      <c r="A16" s="152" t="s">
        <v>939</v>
      </c>
    </row>
    <row r="17" spans="1:6" x14ac:dyDescent="0.3">
      <c r="A17" s="152" t="s">
        <v>941</v>
      </c>
    </row>
    <row r="19" spans="1:6" x14ac:dyDescent="0.3">
      <c r="A19" s="361" t="s">
        <v>947</v>
      </c>
      <c r="B19" s="362"/>
      <c r="C19" s="300" t="s">
        <v>948</v>
      </c>
      <c r="D19" s="300" t="s">
        <v>949</v>
      </c>
      <c r="E19" s="300" t="s">
        <v>950</v>
      </c>
      <c r="F19" s="301" t="s">
        <v>951</v>
      </c>
    </row>
    <row r="20" spans="1:6" x14ac:dyDescent="0.3">
      <c r="A20" s="352" t="str">
        <f>WTP!G552</f>
        <v>MCC</v>
      </c>
      <c r="B20" s="353"/>
      <c r="C20" s="286">
        <v>1</v>
      </c>
      <c r="D20" s="297" t="s">
        <v>952</v>
      </c>
      <c r="E20" s="298">
        <f>WTP!L552</f>
        <v>3697837.6428571432</v>
      </c>
      <c r="F20" s="289">
        <f>+IF(E20="","",E20*C20)</f>
        <v>3697837.6428571432</v>
      </c>
    </row>
    <row r="21" spans="1:6" x14ac:dyDescent="0.3">
      <c r="A21" s="352" t="str">
        <f>WTP!G553</f>
        <v>Design</v>
      </c>
      <c r="B21" s="353"/>
      <c r="C21" s="286">
        <v>1</v>
      </c>
      <c r="D21" s="297" t="s">
        <v>952</v>
      </c>
      <c r="E21" s="298">
        <f>WTP!L553</f>
        <v>0</v>
      </c>
      <c r="F21" s="289">
        <f>+IF(E21="","",E21*C21)</f>
        <v>0</v>
      </c>
    </row>
    <row r="22" spans="1:6" x14ac:dyDescent="0.3">
      <c r="A22" s="290" t="str">
        <f>WTP!G554</f>
        <v xml:space="preserve">Commissioning </v>
      </c>
      <c r="B22" s="264"/>
      <c r="C22" s="286">
        <v>1</v>
      </c>
      <c r="D22" s="297" t="s">
        <v>952</v>
      </c>
      <c r="E22" s="298">
        <f>WTP!L554</f>
        <v>0</v>
      </c>
      <c r="F22" s="289">
        <f t="shared" ref="F22:F31" si="0">+IF(E22="","",E22*C22)</f>
        <v>0</v>
      </c>
    </row>
    <row r="23" spans="1:6" x14ac:dyDescent="0.3">
      <c r="A23" s="290" t="str">
        <f>WTP!G555</f>
        <v>Instrumentation</v>
      </c>
      <c r="B23" s="264"/>
      <c r="C23" s="286">
        <v>1</v>
      </c>
      <c r="D23" s="297" t="s">
        <v>952</v>
      </c>
      <c r="E23" s="298">
        <f>WTP!L555</f>
        <v>0</v>
      </c>
      <c r="F23" s="289">
        <f t="shared" si="0"/>
        <v>0</v>
      </c>
    </row>
    <row r="24" spans="1:6" x14ac:dyDescent="0.3">
      <c r="A24" s="290" t="str">
        <f>WTP!G556</f>
        <v>Panel Manufacturing</v>
      </c>
      <c r="B24" s="264"/>
      <c r="C24" s="286">
        <v>1</v>
      </c>
      <c r="D24" s="297" t="s">
        <v>952</v>
      </c>
      <c r="E24" s="298">
        <f>WTP!L556</f>
        <v>0</v>
      </c>
      <c r="F24" s="289">
        <f t="shared" si="0"/>
        <v>0</v>
      </c>
    </row>
    <row r="25" spans="1:6" x14ac:dyDescent="0.3">
      <c r="A25" s="290" t="str">
        <f>WTP!G557</f>
        <v>Software Development</v>
      </c>
      <c r="B25" s="264"/>
      <c r="C25" s="286">
        <v>1</v>
      </c>
      <c r="D25" s="297" t="s">
        <v>952</v>
      </c>
      <c r="E25" s="298">
        <f>WTP!L557</f>
        <v>0</v>
      </c>
      <c r="F25" s="289">
        <f t="shared" si="0"/>
        <v>0</v>
      </c>
    </row>
    <row r="26" spans="1:6" x14ac:dyDescent="0.3">
      <c r="A26" s="290" t="str">
        <f>WTP!G558</f>
        <v>Workshop Installation</v>
      </c>
      <c r="B26" s="264"/>
      <c r="C26" s="286">
        <v>1</v>
      </c>
      <c r="D26" s="297" t="s">
        <v>952</v>
      </c>
      <c r="E26" s="298">
        <f>WTP!L558</f>
        <v>857.14285714285722</v>
      </c>
      <c r="F26" s="289">
        <f t="shared" si="0"/>
        <v>857.14285714285722</v>
      </c>
    </row>
    <row r="27" spans="1:6" x14ac:dyDescent="0.3">
      <c r="A27" s="290" t="str">
        <f>WTP!G559</f>
        <v>Site Installation</v>
      </c>
      <c r="B27" s="264"/>
      <c r="C27" s="286">
        <v>1</v>
      </c>
      <c r="D27" s="297" t="s">
        <v>952</v>
      </c>
      <c r="E27" s="298">
        <f>WTP!L559</f>
        <v>0</v>
      </c>
      <c r="F27" s="289">
        <f t="shared" si="0"/>
        <v>0</v>
      </c>
    </row>
    <row r="28" spans="1:6" x14ac:dyDescent="0.3">
      <c r="A28" s="291" t="str">
        <f>WTP!G560</f>
        <v>Cable + Trays</v>
      </c>
      <c r="B28" s="267"/>
      <c r="C28" s="286">
        <v>1</v>
      </c>
      <c r="D28" s="297" t="s">
        <v>952</v>
      </c>
      <c r="E28" s="299">
        <f>WTP!L560</f>
        <v>171.07142857142858</v>
      </c>
      <c r="F28" s="289">
        <f t="shared" si="0"/>
        <v>171.07142857142858</v>
      </c>
    </row>
    <row r="29" spans="1:6" x14ac:dyDescent="0.3">
      <c r="A29" s="291" t="str">
        <f>WTP!G561</f>
        <v>Remote Monitoring</v>
      </c>
      <c r="B29" s="267"/>
      <c r="C29" s="286">
        <v>1</v>
      </c>
      <c r="D29" s="297" t="s">
        <v>952</v>
      </c>
      <c r="E29" s="299">
        <f>WTP!L561</f>
        <v>0</v>
      </c>
      <c r="F29" s="289">
        <f t="shared" si="0"/>
        <v>0</v>
      </c>
    </row>
    <row r="30" spans="1:6" x14ac:dyDescent="0.3">
      <c r="A30" s="291" t="str">
        <f>WTP!G562</f>
        <v>Coc</v>
      </c>
      <c r="B30" s="267"/>
      <c r="C30" s="286">
        <v>1</v>
      </c>
      <c r="D30" s="297" t="s">
        <v>952</v>
      </c>
      <c r="E30" s="299">
        <f>WTP!L562</f>
        <v>0</v>
      </c>
      <c r="F30" s="289">
        <f t="shared" si="0"/>
        <v>0</v>
      </c>
    </row>
    <row r="31" spans="1:6" x14ac:dyDescent="0.3">
      <c r="A31" s="292"/>
      <c r="B31" s="293"/>
      <c r="C31" s="294"/>
      <c r="D31" s="294"/>
      <c r="E31" s="295"/>
      <c r="F31" s="296" t="str">
        <f t="shared" si="0"/>
        <v/>
      </c>
    </row>
    <row r="32" spans="1:6" ht="15" x14ac:dyDescent="0.35">
      <c r="A32" s="240"/>
      <c r="B32" s="240"/>
      <c r="C32" s="240"/>
      <c r="D32" s="253" t="s">
        <v>953</v>
      </c>
      <c r="E32" s="254" t="s">
        <v>954</v>
      </c>
      <c r="F32" s="255">
        <f>SUM(F20:F31)</f>
        <v>3698865.8571428573</v>
      </c>
    </row>
    <row r="33" spans="1:6" ht="15" x14ac:dyDescent="0.35">
      <c r="A33" s="268" t="s">
        <v>955</v>
      </c>
      <c r="B33" s="269"/>
      <c r="C33" s="270"/>
      <c r="D33" s="241"/>
      <c r="E33" s="242" t="s">
        <v>956</v>
      </c>
      <c r="F33" s="243">
        <v>0.15</v>
      </c>
    </row>
    <row r="34" spans="1:6" ht="15" x14ac:dyDescent="0.35">
      <c r="A34" s="265" t="s">
        <v>957</v>
      </c>
      <c r="B34" s="259"/>
      <c r="C34" s="266"/>
      <c r="D34" s="244"/>
      <c r="E34" s="242" t="s">
        <v>958</v>
      </c>
      <c r="F34" s="245">
        <f>ROUND(F32*F33,2)</f>
        <v>554829.88</v>
      </c>
    </row>
    <row r="35" spans="1:6" ht="15.6" thickBot="1" x14ac:dyDescent="0.4">
      <c r="A35" s="265" t="s">
        <v>959</v>
      </c>
      <c r="B35" s="259"/>
      <c r="C35" s="266"/>
      <c r="D35" s="244"/>
      <c r="E35" s="246" t="s">
        <v>1</v>
      </c>
      <c r="F35" s="247">
        <v>0</v>
      </c>
    </row>
    <row r="36" spans="1:6" ht="15.6" thickTop="1" x14ac:dyDescent="0.35">
      <c r="A36" s="265" t="s">
        <v>960</v>
      </c>
      <c r="B36" s="259"/>
      <c r="C36" s="266"/>
      <c r="D36" s="244"/>
      <c r="E36" s="248" t="s">
        <v>961</v>
      </c>
      <c r="F36" s="250">
        <f>F32+F34+F35</f>
        <v>4253695.7371428572</v>
      </c>
    </row>
    <row r="37" spans="1:6" x14ac:dyDescent="0.3">
      <c r="A37" s="274"/>
      <c r="B37" s="262"/>
      <c r="C37" s="275"/>
      <c r="D37" s="244"/>
      <c r="E37" s="239"/>
      <c r="F37" s="239"/>
    </row>
    <row r="38" spans="1:6" x14ac:dyDescent="0.3">
      <c r="A38" s="265"/>
      <c r="B38" s="259"/>
      <c r="C38" s="266"/>
      <c r="D38" s="239"/>
      <c r="E38" s="260"/>
      <c r="F38" s="260"/>
    </row>
    <row r="39" spans="1:6" x14ac:dyDescent="0.3">
      <c r="A39" s="276"/>
      <c r="B39" s="263"/>
      <c r="C39" s="277"/>
      <c r="D39" s="239"/>
      <c r="E39" s="261"/>
      <c r="F39" s="261"/>
    </row>
    <row r="40" spans="1:6" x14ac:dyDescent="0.3">
      <c r="A40" s="265"/>
      <c r="B40" s="259"/>
      <c r="C40" s="266"/>
      <c r="D40" s="239"/>
      <c r="E40" s="239"/>
      <c r="F40" s="239"/>
    </row>
    <row r="41" spans="1:6" x14ac:dyDescent="0.3">
      <c r="A41" s="271"/>
      <c r="B41" s="272"/>
      <c r="C41" s="273"/>
      <c r="D41" s="239"/>
      <c r="E41" s="239"/>
      <c r="F41" s="239"/>
    </row>
    <row r="46" spans="1:6" x14ac:dyDescent="0.3">
      <c r="A46" s="236" t="s">
        <v>1034</v>
      </c>
      <c r="B46" s="238"/>
      <c r="C46" s="238"/>
      <c r="D46" s="278"/>
      <c r="E46" s="278"/>
      <c r="F46" s="279"/>
    </row>
    <row r="47" spans="1:6" x14ac:dyDescent="0.3">
      <c r="A47" s="258"/>
      <c r="B47" s="259"/>
      <c r="C47" s="259"/>
      <c r="D47" s="240"/>
      <c r="E47" s="240"/>
      <c r="F47" s="257"/>
    </row>
    <row r="48" spans="1:6" x14ac:dyDescent="0.3">
      <c r="A48" s="280" t="s">
        <v>1037</v>
      </c>
      <c r="B48" s="263"/>
      <c r="C48" s="263"/>
      <c r="D48" s="263" t="s">
        <v>1038</v>
      </c>
      <c r="E48" s="263"/>
      <c r="F48" s="281"/>
    </row>
    <row r="49" spans="1:6" x14ac:dyDescent="0.3">
      <c r="A49" s="282" t="s">
        <v>962</v>
      </c>
      <c r="B49" s="283"/>
      <c r="C49" s="283"/>
      <c r="D49" s="283" t="s">
        <v>1035</v>
      </c>
      <c r="E49" s="283"/>
      <c r="F49" s="284"/>
    </row>
    <row r="51" spans="1:6" x14ac:dyDescent="0.3">
      <c r="A51" s="350" t="s">
        <v>963</v>
      </c>
      <c r="B51" s="350"/>
      <c r="C51" s="350"/>
      <c r="D51" s="350"/>
      <c r="E51" s="350"/>
      <c r="F51" s="350"/>
    </row>
    <row r="52" spans="1:6" x14ac:dyDescent="0.3">
      <c r="A52" s="350" t="s">
        <v>964</v>
      </c>
      <c r="B52" s="350"/>
      <c r="C52" s="350"/>
      <c r="D52" s="350"/>
      <c r="E52" s="350"/>
      <c r="F52" s="350"/>
    </row>
    <row r="53" spans="1:6" x14ac:dyDescent="0.3">
      <c r="A53" s="351" t="str">
        <f>CONCATENATE(B6,", ",B7,", ",B5)</f>
        <v>Morne Viljoen, morne.viljoen@alveoenergy.co.za, 021 851 2576</v>
      </c>
      <c r="B53" s="351"/>
      <c r="C53" s="351"/>
      <c r="D53" s="351"/>
      <c r="E53" s="351"/>
      <c r="F53" s="351"/>
    </row>
  </sheetData>
  <mergeCells count="10">
    <mergeCell ref="A51:F51"/>
    <mergeCell ref="A52:F52"/>
    <mergeCell ref="A53:F53"/>
    <mergeCell ref="A1:C1"/>
    <mergeCell ref="E1:F1"/>
    <mergeCell ref="A2:C2"/>
    <mergeCell ref="A9:B9"/>
    <mergeCell ref="A19:B19"/>
    <mergeCell ref="A20:B20"/>
    <mergeCell ref="A21:B21"/>
  </mergeCells>
  <conditionalFormatting sqref="B23 B25 B27 B29 B31 A20:A31 C20:F31">
    <cfRule type="expression" dxfId="0" priority="2" stopIfTrue="1">
      <formula>MOD(ROW(),2)=1</formula>
    </cfRule>
  </conditionalFormatting>
  <dataValidations disablePrompts="1" count="1">
    <dataValidation type="list" allowBlank="1" showInputMessage="1" showErrorMessage="1" sqref="B6" xr:uid="{520FF6C1-85B1-4E50-8A25-0A0584E7E9C6}">
      <formula1>$H$3:$H$7</formula1>
    </dataValidation>
  </dataValidations>
  <hyperlinks>
    <hyperlink ref="B7" r:id="rId1" display="morne@alveoenergy.co.za" xr:uid="{F7DCC03E-42B0-44A8-899A-CCAE8DE6DDC1}"/>
    <hyperlink ref="I3" r:id="rId2" xr:uid="{7AA8FFC3-EF9F-4B8C-A48A-6355BBE31C1F}"/>
    <hyperlink ref="I4" r:id="rId3" xr:uid="{174B8CD9-530B-4289-826B-CFF5A455052D}"/>
    <hyperlink ref="I5" r:id="rId4" xr:uid="{C7318CBB-E62D-4454-ADFE-A23A33F4B032}"/>
    <hyperlink ref="I6" r:id="rId5" xr:uid="{110C7C1A-FDBA-4737-8CD5-3871A2B33FE7}"/>
    <hyperlink ref="I7" r:id="rId6" xr:uid="{C2F95766-189F-45D9-B801-A9BCE6EF4DDD}"/>
  </hyperlinks>
  <pageMargins left="0.7" right="0.7" top="0.75" bottom="0.75" header="0.3" footer="0.3"/>
  <pageSetup paperSize="9" scale="81" orientation="portrait" r:id="rId7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27630-621D-4540-AC46-C04DE70AF062}">
  <sheetPr codeName="Sheet5"/>
  <dimension ref="A1:N121"/>
  <sheetViews>
    <sheetView workbookViewId="0">
      <selection activeCell="D23" sqref="D23"/>
    </sheetView>
  </sheetViews>
  <sheetFormatPr defaultRowHeight="14.4" x14ac:dyDescent="0.3"/>
  <cols>
    <col min="1" max="1" width="12.6640625" customWidth="1"/>
    <col min="2" max="2" width="54.5546875" customWidth="1"/>
    <col min="3" max="3" width="19.5546875" customWidth="1"/>
    <col min="4" max="4" width="31.5546875" customWidth="1"/>
    <col min="5" max="5" width="23.109375" customWidth="1"/>
    <col min="6" max="6" width="17.6640625" customWidth="1"/>
    <col min="7" max="7" width="13.5546875" customWidth="1"/>
    <col min="8" max="8" width="13.44140625" customWidth="1"/>
    <col min="9" max="9" width="14" customWidth="1"/>
  </cols>
  <sheetData>
    <row r="1" spans="1:14" x14ac:dyDescent="0.3">
      <c r="A1" s="430" t="s">
        <v>0</v>
      </c>
      <c r="B1" s="431"/>
      <c r="C1" s="102"/>
      <c r="D1" s="432">
        <v>43986</v>
      </c>
      <c r="E1" s="433"/>
      <c r="F1" s="433"/>
      <c r="G1" s="433"/>
      <c r="H1" s="433"/>
      <c r="I1" s="434"/>
    </row>
    <row r="2" spans="1:14" x14ac:dyDescent="0.3">
      <c r="A2" s="414" t="s">
        <v>837</v>
      </c>
      <c r="B2" s="415"/>
      <c r="C2" s="103"/>
      <c r="D2" s="416" t="s">
        <v>838</v>
      </c>
      <c r="E2" s="417"/>
      <c r="F2" s="417"/>
      <c r="G2" s="417"/>
      <c r="H2" s="417"/>
      <c r="I2" s="418"/>
    </row>
    <row r="3" spans="1:14" x14ac:dyDescent="0.3">
      <c r="A3" s="414" t="s">
        <v>839</v>
      </c>
      <c r="B3" s="415"/>
      <c r="C3" s="103"/>
      <c r="D3" s="435"/>
      <c r="E3" s="436"/>
      <c r="F3" s="436"/>
      <c r="G3" s="436"/>
      <c r="H3" s="436"/>
      <c r="I3" s="437"/>
    </row>
    <row r="4" spans="1:14" x14ac:dyDescent="0.3">
      <c r="A4" s="414" t="s">
        <v>2</v>
      </c>
      <c r="B4" s="415"/>
      <c r="C4" s="103"/>
      <c r="D4" s="416" t="s">
        <v>840</v>
      </c>
      <c r="E4" s="417"/>
      <c r="F4" s="417"/>
      <c r="G4" s="417"/>
      <c r="H4" s="417"/>
      <c r="I4" s="418"/>
    </row>
    <row r="5" spans="1:14" ht="15" thickBot="1" x14ac:dyDescent="0.35">
      <c r="A5" s="419" t="s">
        <v>841</v>
      </c>
      <c r="B5" s="420"/>
      <c r="C5" s="104"/>
      <c r="D5" s="416"/>
      <c r="E5" s="417"/>
      <c r="F5" s="417"/>
      <c r="G5" s="417"/>
      <c r="H5" s="417"/>
      <c r="I5" s="418"/>
    </row>
    <row r="6" spans="1:14" x14ac:dyDescent="0.3">
      <c r="A6" s="421" t="s">
        <v>842</v>
      </c>
      <c r="B6" s="422"/>
      <c r="C6" s="422"/>
      <c r="D6" s="422"/>
      <c r="E6" s="422"/>
      <c r="F6" s="422"/>
      <c r="G6" s="422"/>
      <c r="H6" s="422"/>
      <c r="I6" s="423"/>
      <c r="J6" s="150" t="s">
        <v>928</v>
      </c>
      <c r="K6" s="150" t="s">
        <v>929</v>
      </c>
      <c r="L6" s="150" t="s">
        <v>930</v>
      </c>
      <c r="M6" s="150" t="s">
        <v>931</v>
      </c>
      <c r="N6" s="150" t="s">
        <v>932</v>
      </c>
    </row>
    <row r="7" spans="1:14" ht="15" thickBot="1" x14ac:dyDescent="0.35">
      <c r="A7" s="105" t="s">
        <v>843</v>
      </c>
      <c r="B7" s="106" t="s">
        <v>844</v>
      </c>
      <c r="C7" s="106" t="s">
        <v>845</v>
      </c>
      <c r="D7" s="106" t="s">
        <v>846</v>
      </c>
      <c r="E7" s="106" t="s">
        <v>847</v>
      </c>
      <c r="F7" s="106" t="s">
        <v>848</v>
      </c>
      <c r="G7" s="106" t="s">
        <v>849</v>
      </c>
      <c r="H7" s="106" t="s">
        <v>850</v>
      </c>
      <c r="I7" s="107" t="s">
        <v>851</v>
      </c>
    </row>
    <row r="8" spans="1:14" x14ac:dyDescent="0.3">
      <c r="A8" s="108">
        <v>1</v>
      </c>
      <c r="B8" s="109" t="s">
        <v>852</v>
      </c>
      <c r="C8" s="109">
        <v>1</v>
      </c>
      <c r="D8" s="109" t="s">
        <v>853</v>
      </c>
      <c r="E8" s="110" t="s">
        <v>854</v>
      </c>
      <c r="F8" s="110" t="s">
        <v>855</v>
      </c>
      <c r="G8" s="110">
        <v>4</v>
      </c>
      <c r="H8" s="110">
        <v>7.9</v>
      </c>
      <c r="I8" s="111">
        <v>3</v>
      </c>
      <c r="J8" s="151">
        <v>2</v>
      </c>
      <c r="K8" s="150">
        <v>2</v>
      </c>
    </row>
    <row r="9" spans="1:14" x14ac:dyDescent="0.3">
      <c r="A9" s="108">
        <v>2</v>
      </c>
      <c r="B9" s="109" t="s">
        <v>856</v>
      </c>
      <c r="C9" s="109">
        <v>1</v>
      </c>
      <c r="D9" s="109" t="s">
        <v>853</v>
      </c>
      <c r="E9" s="110" t="s">
        <v>857</v>
      </c>
      <c r="F9" s="110" t="s">
        <v>855</v>
      </c>
      <c r="G9" s="110">
        <v>5.5</v>
      </c>
      <c r="H9" s="110">
        <v>11</v>
      </c>
      <c r="I9" s="111">
        <v>3</v>
      </c>
      <c r="J9" s="151">
        <v>2</v>
      </c>
      <c r="K9" s="150">
        <v>2</v>
      </c>
    </row>
    <row r="10" spans="1:14" x14ac:dyDescent="0.3">
      <c r="A10" s="108">
        <v>3</v>
      </c>
      <c r="B10" s="109" t="s">
        <v>858</v>
      </c>
      <c r="C10" s="109">
        <v>1</v>
      </c>
      <c r="D10" s="109" t="s">
        <v>853</v>
      </c>
      <c r="E10" s="110" t="s">
        <v>859</v>
      </c>
      <c r="F10" s="110" t="s">
        <v>860</v>
      </c>
      <c r="G10" s="110">
        <v>11</v>
      </c>
      <c r="H10" s="110">
        <v>20.8</v>
      </c>
      <c r="I10" s="111">
        <v>3</v>
      </c>
      <c r="J10" s="151">
        <v>2</v>
      </c>
      <c r="K10" s="150">
        <v>2</v>
      </c>
      <c r="L10" s="150">
        <v>1</v>
      </c>
      <c r="M10" s="150">
        <v>1</v>
      </c>
    </row>
    <row r="11" spans="1:14" x14ac:dyDescent="0.3">
      <c r="A11" s="108">
        <v>4</v>
      </c>
      <c r="B11" s="109" t="s">
        <v>861</v>
      </c>
      <c r="C11" s="109">
        <v>1</v>
      </c>
      <c r="D11" s="109" t="s">
        <v>853</v>
      </c>
      <c r="E11" s="110" t="s">
        <v>862</v>
      </c>
      <c r="F11" s="110"/>
      <c r="G11" s="110"/>
      <c r="H11" s="112"/>
      <c r="I11" s="111"/>
      <c r="J11" s="151">
        <v>2</v>
      </c>
      <c r="K11" s="150">
        <v>2</v>
      </c>
      <c r="M11">
        <v>1</v>
      </c>
    </row>
    <row r="12" spans="1:14" x14ac:dyDescent="0.3">
      <c r="A12" s="113">
        <v>5</v>
      </c>
      <c r="B12" s="109" t="s">
        <v>863</v>
      </c>
      <c r="C12" s="114">
        <v>1</v>
      </c>
      <c r="D12" s="109" t="s">
        <v>853</v>
      </c>
      <c r="E12" s="110" t="s">
        <v>862</v>
      </c>
      <c r="F12" s="115"/>
      <c r="G12" s="115"/>
      <c r="H12" s="116"/>
      <c r="I12" s="117"/>
      <c r="J12" s="151">
        <v>2</v>
      </c>
      <c r="K12" s="150">
        <v>2</v>
      </c>
      <c r="M12">
        <v>1</v>
      </c>
    </row>
    <row r="13" spans="1:14" x14ac:dyDescent="0.3">
      <c r="A13" s="113">
        <v>6</v>
      </c>
      <c r="B13" s="114" t="s">
        <v>864</v>
      </c>
      <c r="C13" s="114">
        <v>1</v>
      </c>
      <c r="D13" s="109" t="s">
        <v>853</v>
      </c>
      <c r="E13" s="115" t="s">
        <v>865</v>
      </c>
      <c r="F13" s="115" t="s">
        <v>866</v>
      </c>
      <c r="G13" s="115">
        <v>0.45</v>
      </c>
      <c r="H13" s="116"/>
      <c r="I13" s="117">
        <v>1</v>
      </c>
      <c r="J13" s="151">
        <v>2</v>
      </c>
      <c r="K13" s="150">
        <v>2</v>
      </c>
    </row>
    <row r="14" spans="1:14" x14ac:dyDescent="0.3">
      <c r="A14" s="113"/>
      <c r="B14" s="114"/>
      <c r="C14" s="114"/>
      <c r="D14" s="114"/>
      <c r="E14" s="115"/>
      <c r="F14" s="115"/>
      <c r="G14" s="115"/>
      <c r="H14" s="116"/>
      <c r="I14" s="117"/>
    </row>
    <row r="15" spans="1:14" ht="15" thickBot="1" x14ac:dyDescent="0.35">
      <c r="A15" s="118"/>
      <c r="B15" s="119"/>
      <c r="C15" s="119"/>
      <c r="D15" s="119"/>
      <c r="E15" s="116"/>
      <c r="F15" s="116"/>
      <c r="G15" s="116"/>
      <c r="H15" s="116"/>
      <c r="I15" s="120"/>
    </row>
    <row r="16" spans="1:14" x14ac:dyDescent="0.3">
      <c r="A16" s="410" t="s">
        <v>867</v>
      </c>
      <c r="B16" s="411"/>
      <c r="C16" s="411"/>
      <c r="D16" s="411"/>
      <c r="E16" s="411"/>
      <c r="F16" s="411"/>
      <c r="G16" s="411"/>
      <c r="H16" s="411"/>
      <c r="I16" s="424"/>
    </row>
    <row r="17" spans="1:14" ht="15" thickBot="1" x14ac:dyDescent="0.35">
      <c r="A17" s="105" t="s">
        <v>843</v>
      </c>
      <c r="B17" s="121" t="s">
        <v>844</v>
      </c>
      <c r="C17" s="121"/>
      <c r="D17" s="121" t="s">
        <v>846</v>
      </c>
      <c r="E17" s="121" t="s">
        <v>847</v>
      </c>
      <c r="F17" s="425" t="s">
        <v>1</v>
      </c>
      <c r="G17" s="425"/>
      <c r="H17" s="425"/>
      <c r="I17" s="426"/>
    </row>
    <row r="18" spans="1:14" x14ac:dyDescent="0.3">
      <c r="A18" s="122">
        <v>1</v>
      </c>
      <c r="B18" s="110" t="s">
        <v>868</v>
      </c>
      <c r="C18" s="110">
        <v>7</v>
      </c>
      <c r="D18" s="110" t="s">
        <v>869</v>
      </c>
      <c r="E18" s="110" t="s">
        <v>870</v>
      </c>
      <c r="F18" s="427" t="s">
        <v>871</v>
      </c>
      <c r="G18" s="417"/>
      <c r="H18" s="417"/>
      <c r="I18" s="418"/>
      <c r="J18">
        <v>14</v>
      </c>
      <c r="K18">
        <v>14</v>
      </c>
    </row>
    <row r="19" spans="1:14" ht="15" customHeight="1" x14ac:dyDescent="0.3">
      <c r="A19" s="122">
        <v>2</v>
      </c>
      <c r="B19" s="109" t="s">
        <v>872</v>
      </c>
      <c r="C19" s="109">
        <v>1</v>
      </c>
      <c r="D19" s="123" t="s">
        <v>873</v>
      </c>
      <c r="E19" s="123" t="s">
        <v>874</v>
      </c>
      <c r="F19" s="428" t="s">
        <v>875</v>
      </c>
      <c r="G19" s="429"/>
      <c r="H19" s="417"/>
      <c r="I19" s="418"/>
      <c r="K19">
        <v>1</v>
      </c>
    </row>
    <row r="20" spans="1:14" ht="15" customHeight="1" x14ac:dyDescent="0.3">
      <c r="A20" s="124">
        <v>3</v>
      </c>
      <c r="B20" s="123" t="s">
        <v>876</v>
      </c>
      <c r="C20" s="123">
        <v>1</v>
      </c>
      <c r="D20" s="123" t="s">
        <v>877</v>
      </c>
      <c r="E20" s="123" t="s">
        <v>878</v>
      </c>
      <c r="F20" s="403" t="s">
        <v>879</v>
      </c>
      <c r="G20" s="404"/>
      <c r="H20" s="404"/>
      <c r="I20" s="405"/>
      <c r="J20">
        <v>1</v>
      </c>
    </row>
    <row r="21" spans="1:14" ht="15" customHeight="1" x14ac:dyDescent="0.3">
      <c r="A21" s="122">
        <v>4</v>
      </c>
      <c r="B21" s="123" t="s">
        <v>880</v>
      </c>
      <c r="C21" s="123">
        <v>1</v>
      </c>
      <c r="D21" s="123" t="s">
        <v>881</v>
      </c>
      <c r="E21" s="123" t="s">
        <v>878</v>
      </c>
      <c r="F21" s="403" t="s">
        <v>879</v>
      </c>
      <c r="G21" s="404"/>
      <c r="H21" s="404"/>
      <c r="I21" s="405"/>
      <c r="J21">
        <v>1</v>
      </c>
    </row>
    <row r="22" spans="1:14" ht="15" customHeight="1" x14ac:dyDescent="0.3">
      <c r="A22" s="122">
        <v>5</v>
      </c>
      <c r="B22" s="123" t="s">
        <v>882</v>
      </c>
      <c r="C22" s="123">
        <v>1</v>
      </c>
      <c r="D22" s="123" t="s">
        <v>883</v>
      </c>
      <c r="E22" s="123" t="s">
        <v>884</v>
      </c>
      <c r="F22" s="403"/>
      <c r="G22" s="404"/>
      <c r="H22" s="404"/>
      <c r="I22" s="405"/>
      <c r="L22">
        <v>1</v>
      </c>
    </row>
    <row r="23" spans="1:14" ht="15" customHeight="1" x14ac:dyDescent="0.3">
      <c r="A23" s="122">
        <v>6</v>
      </c>
      <c r="B23" s="123" t="s">
        <v>885</v>
      </c>
      <c r="C23" s="123">
        <v>1</v>
      </c>
      <c r="D23" s="123" t="s">
        <v>886</v>
      </c>
      <c r="E23" s="123" t="s">
        <v>884</v>
      </c>
      <c r="F23" s="125"/>
      <c r="G23" s="126"/>
      <c r="H23" s="126"/>
      <c r="I23" s="127"/>
      <c r="L23">
        <v>1</v>
      </c>
    </row>
    <row r="24" spans="1:14" ht="15" customHeight="1" x14ac:dyDescent="0.3">
      <c r="A24" s="122">
        <v>7</v>
      </c>
      <c r="B24" s="123" t="s">
        <v>887</v>
      </c>
      <c r="C24" s="123">
        <v>1</v>
      </c>
      <c r="D24" s="123" t="s">
        <v>888</v>
      </c>
      <c r="E24" s="123" t="s">
        <v>884</v>
      </c>
      <c r="F24" s="125"/>
      <c r="G24" s="126"/>
      <c r="H24" s="126"/>
      <c r="I24" s="127"/>
      <c r="L24">
        <v>1</v>
      </c>
    </row>
    <row r="25" spans="1:14" ht="15" customHeight="1" x14ac:dyDescent="0.3">
      <c r="A25" s="122">
        <v>8</v>
      </c>
      <c r="B25" s="123" t="s">
        <v>889</v>
      </c>
      <c r="C25" s="123">
        <v>1</v>
      </c>
      <c r="D25" s="123" t="s">
        <v>890</v>
      </c>
      <c r="E25" s="123" t="s">
        <v>884</v>
      </c>
      <c r="F25" s="125"/>
      <c r="G25" s="126"/>
      <c r="H25" s="126"/>
      <c r="I25" s="127"/>
      <c r="L25">
        <v>1</v>
      </c>
    </row>
    <row r="26" spans="1:14" ht="15" customHeight="1" x14ac:dyDescent="0.3">
      <c r="A26" s="122">
        <v>9</v>
      </c>
      <c r="B26" s="123" t="s">
        <v>891</v>
      </c>
      <c r="C26" s="123">
        <v>1</v>
      </c>
      <c r="D26" s="123" t="s">
        <v>883</v>
      </c>
      <c r="E26" s="123" t="s">
        <v>892</v>
      </c>
      <c r="F26" s="403" t="s">
        <v>787</v>
      </c>
      <c r="G26" s="404"/>
      <c r="H26" s="404"/>
      <c r="I26" s="405"/>
      <c r="N26">
        <v>1</v>
      </c>
    </row>
    <row r="27" spans="1:14" ht="15" customHeight="1" x14ac:dyDescent="0.3">
      <c r="A27" s="122">
        <v>10</v>
      </c>
      <c r="B27" s="123" t="s">
        <v>893</v>
      </c>
      <c r="C27" s="123">
        <v>1</v>
      </c>
      <c r="D27" s="123" t="s">
        <v>894</v>
      </c>
      <c r="E27" s="123" t="s">
        <v>892</v>
      </c>
      <c r="F27" s="403" t="s">
        <v>787</v>
      </c>
      <c r="G27" s="404"/>
      <c r="H27" s="404"/>
      <c r="I27" s="405"/>
      <c r="N27">
        <v>1</v>
      </c>
    </row>
    <row r="28" spans="1:14" ht="15" customHeight="1" x14ac:dyDescent="0.3">
      <c r="A28" s="122">
        <v>11</v>
      </c>
      <c r="B28" s="123" t="s">
        <v>895</v>
      </c>
      <c r="C28" s="123">
        <v>1</v>
      </c>
      <c r="D28" s="123" t="s">
        <v>890</v>
      </c>
      <c r="E28" s="123" t="s">
        <v>892</v>
      </c>
      <c r="F28" s="403" t="s">
        <v>896</v>
      </c>
      <c r="G28" s="404"/>
      <c r="H28" s="404"/>
      <c r="I28" s="405"/>
      <c r="N28">
        <v>1</v>
      </c>
    </row>
    <row r="29" spans="1:14" ht="15" customHeight="1" x14ac:dyDescent="0.3">
      <c r="A29" s="124">
        <v>12</v>
      </c>
      <c r="B29" s="123" t="s">
        <v>897</v>
      </c>
      <c r="C29" s="123">
        <v>1</v>
      </c>
      <c r="D29" s="123" t="s">
        <v>898</v>
      </c>
      <c r="E29" s="123" t="s">
        <v>892</v>
      </c>
      <c r="F29" s="403" t="s">
        <v>787</v>
      </c>
      <c r="G29" s="404"/>
      <c r="H29" s="404"/>
      <c r="I29" s="405"/>
      <c r="N29">
        <v>1</v>
      </c>
    </row>
    <row r="30" spans="1:14" ht="15" customHeight="1" x14ac:dyDescent="0.3">
      <c r="A30" s="124">
        <v>13</v>
      </c>
      <c r="B30" s="123" t="s">
        <v>899</v>
      </c>
      <c r="C30" s="123">
        <v>1</v>
      </c>
      <c r="D30" s="123" t="s">
        <v>883</v>
      </c>
      <c r="E30" s="123" t="s">
        <v>900</v>
      </c>
      <c r="F30" s="125"/>
      <c r="G30" s="126"/>
      <c r="H30" s="126"/>
      <c r="I30" s="127"/>
    </row>
    <row r="31" spans="1:14" ht="15" customHeight="1" x14ac:dyDescent="0.3">
      <c r="A31" s="124">
        <v>14</v>
      </c>
      <c r="B31" s="123" t="s">
        <v>901</v>
      </c>
      <c r="C31" s="123">
        <v>1</v>
      </c>
      <c r="D31" s="123" t="s">
        <v>898</v>
      </c>
      <c r="E31" s="123" t="s">
        <v>900</v>
      </c>
      <c r="F31" s="125"/>
      <c r="G31" s="126"/>
      <c r="H31" s="126"/>
      <c r="I31" s="127"/>
    </row>
    <row r="32" spans="1:14" ht="15" customHeight="1" x14ac:dyDescent="0.3">
      <c r="A32" s="124">
        <v>15</v>
      </c>
      <c r="B32" s="123" t="s">
        <v>902</v>
      </c>
      <c r="C32" s="123">
        <v>1</v>
      </c>
      <c r="D32" s="123" t="s">
        <v>903</v>
      </c>
      <c r="E32" s="123" t="s">
        <v>904</v>
      </c>
      <c r="F32" s="125"/>
      <c r="G32" s="126"/>
      <c r="H32" s="126"/>
      <c r="I32" s="127"/>
    </row>
    <row r="33" spans="1:14" ht="15" customHeight="1" x14ac:dyDescent="0.3">
      <c r="A33" s="122">
        <v>16</v>
      </c>
      <c r="B33" s="123" t="s">
        <v>905</v>
      </c>
      <c r="C33" s="123">
        <v>1</v>
      </c>
      <c r="D33" s="123" t="s">
        <v>903</v>
      </c>
      <c r="E33" s="123" t="s">
        <v>906</v>
      </c>
      <c r="F33" s="403"/>
      <c r="G33" s="404"/>
      <c r="H33" s="404"/>
      <c r="I33" s="405"/>
    </row>
    <row r="34" spans="1:14" ht="15" customHeight="1" x14ac:dyDescent="0.3">
      <c r="A34" s="110">
        <v>17</v>
      </c>
      <c r="B34" s="128" t="s">
        <v>907</v>
      </c>
      <c r="C34" s="128">
        <v>1</v>
      </c>
      <c r="D34" s="128" t="s">
        <v>908</v>
      </c>
      <c r="E34" s="128" t="s">
        <v>909</v>
      </c>
      <c r="F34" s="403"/>
      <c r="G34" s="404"/>
      <c r="H34" s="404"/>
      <c r="I34" s="406"/>
      <c r="L34">
        <v>2</v>
      </c>
    </row>
    <row r="35" spans="1:14" ht="15" customHeight="1" x14ac:dyDescent="0.3">
      <c r="A35" s="110">
        <v>18</v>
      </c>
      <c r="B35" s="128" t="s">
        <v>910</v>
      </c>
      <c r="C35" s="128">
        <v>1</v>
      </c>
      <c r="D35" s="128" t="s">
        <v>903</v>
      </c>
      <c r="E35" s="128" t="s">
        <v>911</v>
      </c>
      <c r="F35" s="403"/>
      <c r="G35" s="404"/>
      <c r="H35" s="404"/>
      <c r="I35" s="406"/>
      <c r="L35">
        <v>4</v>
      </c>
    </row>
    <row r="36" spans="1:14" ht="15" customHeight="1" x14ac:dyDescent="0.3">
      <c r="A36" s="110">
        <v>19</v>
      </c>
      <c r="B36" s="128" t="s">
        <v>907</v>
      </c>
      <c r="C36" s="128">
        <v>1</v>
      </c>
      <c r="D36" s="128" t="s">
        <v>912</v>
      </c>
      <c r="E36" s="128" t="s">
        <v>909</v>
      </c>
      <c r="F36" s="403"/>
      <c r="G36" s="404"/>
      <c r="H36" s="404"/>
      <c r="I36" s="406"/>
      <c r="L36">
        <v>2</v>
      </c>
    </row>
    <row r="37" spans="1:14" ht="15" thickBot="1" x14ac:dyDescent="0.35">
      <c r="A37" s="407" t="s">
        <v>913</v>
      </c>
      <c r="B37" s="408"/>
      <c r="C37" s="408"/>
      <c r="D37" s="408"/>
      <c r="E37" s="408"/>
      <c r="F37" s="408"/>
      <c r="G37" s="408"/>
      <c r="H37" s="408"/>
      <c r="I37" s="409"/>
      <c r="J37">
        <f>SUM(J8:J36)</f>
        <v>28</v>
      </c>
      <c r="K37">
        <f t="shared" ref="K37:N37" si="0">SUM(K8:K36)</f>
        <v>27</v>
      </c>
      <c r="L37">
        <f t="shared" si="0"/>
        <v>13</v>
      </c>
      <c r="M37">
        <f t="shared" si="0"/>
        <v>3</v>
      </c>
      <c r="N37">
        <f t="shared" si="0"/>
        <v>4</v>
      </c>
    </row>
    <row r="38" spans="1:14" x14ac:dyDescent="0.3">
      <c r="A38" s="410" t="s">
        <v>914</v>
      </c>
      <c r="B38" s="411"/>
      <c r="C38" s="411"/>
      <c r="D38" s="411"/>
      <c r="E38" s="411"/>
      <c r="F38" s="411"/>
      <c r="G38" s="129"/>
      <c r="H38" s="412" t="s">
        <v>915</v>
      </c>
      <c r="I38" s="413"/>
    </row>
    <row r="39" spans="1:14" ht="15" thickBot="1" x14ac:dyDescent="0.35">
      <c r="A39" s="401"/>
      <c r="B39" s="402"/>
      <c r="C39" s="402"/>
      <c r="D39" s="402"/>
      <c r="E39" s="402"/>
      <c r="F39" s="402"/>
      <c r="G39" s="130"/>
      <c r="H39" s="131" t="s">
        <v>916</v>
      </c>
      <c r="I39" s="132" t="s">
        <v>917</v>
      </c>
    </row>
    <row r="40" spans="1:14" x14ac:dyDescent="0.3">
      <c r="A40" s="395"/>
      <c r="B40" s="396"/>
      <c r="C40" s="396"/>
      <c r="D40" s="396"/>
      <c r="E40" s="396"/>
      <c r="F40" s="397"/>
      <c r="G40" s="133"/>
      <c r="H40" s="134"/>
      <c r="I40" s="135"/>
    </row>
    <row r="41" spans="1:14" ht="15" thickBot="1" x14ac:dyDescent="0.35">
      <c r="A41" s="398"/>
      <c r="B41" s="399"/>
      <c r="C41" s="399"/>
      <c r="D41" s="399"/>
      <c r="E41" s="399"/>
      <c r="F41" s="400"/>
      <c r="G41" s="136"/>
      <c r="H41" s="137"/>
      <c r="I41" s="138"/>
    </row>
    <row r="42" spans="1:14" x14ac:dyDescent="0.3">
      <c r="A42" s="391"/>
      <c r="B42" s="392"/>
      <c r="C42" s="392"/>
      <c r="D42" s="392"/>
      <c r="E42" s="392"/>
      <c r="F42" s="392"/>
      <c r="G42" s="133"/>
      <c r="H42" s="134"/>
      <c r="I42" s="135"/>
    </row>
    <row r="43" spans="1:14" ht="15" thickBot="1" x14ac:dyDescent="0.35">
      <c r="A43" s="389"/>
      <c r="B43" s="390"/>
      <c r="C43" s="390"/>
      <c r="D43" s="390"/>
      <c r="E43" s="390"/>
      <c r="F43" s="390"/>
      <c r="G43" s="136"/>
      <c r="H43" s="137"/>
      <c r="I43" s="138"/>
    </row>
    <row r="44" spans="1:14" x14ac:dyDescent="0.3">
      <c r="A44" s="391"/>
      <c r="B44" s="392"/>
      <c r="C44" s="392"/>
      <c r="D44" s="392"/>
      <c r="E44" s="392"/>
      <c r="F44" s="392"/>
      <c r="G44" s="133"/>
      <c r="H44" s="134"/>
      <c r="I44" s="135"/>
    </row>
    <row r="45" spans="1:14" x14ac:dyDescent="0.3">
      <c r="A45" s="387"/>
      <c r="B45" s="388"/>
      <c r="C45" s="388"/>
      <c r="D45" s="388"/>
      <c r="E45" s="388"/>
      <c r="F45" s="388"/>
      <c r="G45" s="139"/>
      <c r="H45" s="140"/>
      <c r="I45" s="141"/>
    </row>
    <row r="46" spans="1:14" x14ac:dyDescent="0.3">
      <c r="A46" s="387"/>
      <c r="B46" s="388"/>
      <c r="C46" s="388"/>
      <c r="D46" s="388"/>
      <c r="E46" s="388"/>
      <c r="F46" s="388"/>
      <c r="G46" s="139"/>
      <c r="H46" s="140"/>
      <c r="I46" s="141"/>
    </row>
    <row r="47" spans="1:14" ht="15" thickBot="1" x14ac:dyDescent="0.35">
      <c r="A47" s="389"/>
      <c r="B47" s="390"/>
      <c r="C47" s="390"/>
      <c r="D47" s="390"/>
      <c r="E47" s="390"/>
      <c r="F47" s="390"/>
      <c r="G47" s="136"/>
      <c r="H47" s="137"/>
      <c r="I47" s="138"/>
    </row>
    <row r="48" spans="1:14" x14ac:dyDescent="0.3">
      <c r="A48" s="391"/>
      <c r="B48" s="392"/>
      <c r="C48" s="392"/>
      <c r="D48" s="392"/>
      <c r="E48" s="392"/>
      <c r="F48" s="392"/>
      <c r="G48" s="133"/>
      <c r="H48" s="134"/>
      <c r="I48" s="135"/>
    </row>
    <row r="49" spans="1:9" ht="15" thickBot="1" x14ac:dyDescent="0.35">
      <c r="A49" s="389"/>
      <c r="B49" s="390"/>
      <c r="C49" s="390"/>
      <c r="D49" s="390"/>
      <c r="E49" s="390"/>
      <c r="F49" s="390"/>
      <c r="G49" s="136"/>
      <c r="H49" s="137"/>
      <c r="I49" s="138"/>
    </row>
    <row r="50" spans="1:9" x14ac:dyDescent="0.3">
      <c r="A50" s="391"/>
      <c r="B50" s="392"/>
      <c r="C50" s="392"/>
      <c r="D50" s="392"/>
      <c r="E50" s="392"/>
      <c r="F50" s="392"/>
      <c r="G50" s="133"/>
      <c r="H50" s="134"/>
      <c r="I50" s="135"/>
    </row>
    <row r="51" spans="1:9" x14ac:dyDescent="0.3">
      <c r="A51" s="387"/>
      <c r="B51" s="388"/>
      <c r="C51" s="388"/>
      <c r="D51" s="388"/>
      <c r="E51" s="388"/>
      <c r="F51" s="388"/>
      <c r="G51" s="139"/>
      <c r="H51" s="140"/>
      <c r="I51" s="141"/>
    </row>
    <row r="52" spans="1:9" x14ac:dyDescent="0.3">
      <c r="A52" s="387"/>
      <c r="B52" s="388"/>
      <c r="C52" s="388"/>
      <c r="D52" s="388"/>
      <c r="E52" s="388"/>
      <c r="F52" s="388"/>
      <c r="G52" s="139"/>
      <c r="H52" s="140"/>
      <c r="I52" s="141"/>
    </row>
    <row r="53" spans="1:9" ht="15" thickBot="1" x14ac:dyDescent="0.35">
      <c r="A53" s="389"/>
      <c r="B53" s="390"/>
      <c r="C53" s="390"/>
      <c r="D53" s="390"/>
      <c r="E53" s="390"/>
      <c r="F53" s="390"/>
      <c r="G53" s="136"/>
      <c r="H53" s="137"/>
      <c r="I53" s="138"/>
    </row>
    <row r="54" spans="1:9" x14ac:dyDescent="0.3">
      <c r="A54" s="391"/>
      <c r="B54" s="392"/>
      <c r="C54" s="392"/>
      <c r="D54" s="392"/>
      <c r="E54" s="392"/>
      <c r="F54" s="392"/>
      <c r="G54" s="133"/>
      <c r="H54" s="134"/>
      <c r="I54" s="135"/>
    </row>
    <row r="55" spans="1:9" x14ac:dyDescent="0.3">
      <c r="A55" s="387"/>
      <c r="B55" s="388"/>
      <c r="C55" s="388"/>
      <c r="D55" s="388"/>
      <c r="E55" s="388"/>
      <c r="F55" s="388"/>
      <c r="G55" s="139"/>
      <c r="H55" s="140"/>
      <c r="I55" s="141"/>
    </row>
    <row r="56" spans="1:9" ht="15" thickBot="1" x14ac:dyDescent="0.35">
      <c r="A56" s="389"/>
      <c r="B56" s="390"/>
      <c r="C56" s="390"/>
      <c r="D56" s="390"/>
      <c r="E56" s="390"/>
      <c r="F56" s="390"/>
      <c r="G56" s="136"/>
      <c r="H56" s="137"/>
      <c r="I56" s="138"/>
    </row>
    <row r="57" spans="1:9" x14ac:dyDescent="0.3">
      <c r="A57" s="391"/>
      <c r="B57" s="392"/>
      <c r="C57" s="392"/>
      <c r="D57" s="392"/>
      <c r="E57" s="392"/>
      <c r="F57" s="392"/>
      <c r="G57" s="133"/>
      <c r="H57" s="134"/>
      <c r="I57" s="135"/>
    </row>
    <row r="58" spans="1:9" ht="15" thickBot="1" x14ac:dyDescent="0.35">
      <c r="A58" s="389"/>
      <c r="B58" s="390"/>
      <c r="C58" s="390"/>
      <c r="D58" s="390"/>
      <c r="E58" s="390"/>
      <c r="F58" s="390"/>
      <c r="G58" s="136"/>
      <c r="H58" s="137"/>
      <c r="I58" s="138"/>
    </row>
    <row r="59" spans="1:9" x14ac:dyDescent="0.3">
      <c r="A59" s="391"/>
      <c r="B59" s="392"/>
      <c r="C59" s="392"/>
      <c r="D59" s="392"/>
      <c r="E59" s="392"/>
      <c r="F59" s="392"/>
      <c r="G59" s="133"/>
      <c r="H59" s="134"/>
      <c r="I59" s="135"/>
    </row>
    <row r="60" spans="1:9" x14ac:dyDescent="0.3">
      <c r="A60" s="387"/>
      <c r="B60" s="388"/>
      <c r="C60" s="388"/>
      <c r="D60" s="388"/>
      <c r="E60" s="388"/>
      <c r="F60" s="388"/>
      <c r="G60" s="139"/>
      <c r="H60" s="140"/>
      <c r="I60" s="141"/>
    </row>
    <row r="61" spans="1:9" x14ac:dyDescent="0.3">
      <c r="A61" s="387"/>
      <c r="B61" s="388"/>
      <c r="C61" s="388"/>
      <c r="D61" s="388"/>
      <c r="E61" s="388"/>
      <c r="F61" s="388"/>
      <c r="G61" s="139"/>
      <c r="H61" s="140"/>
      <c r="I61" s="141"/>
    </row>
    <row r="62" spans="1:9" x14ac:dyDescent="0.3">
      <c r="A62" s="387"/>
      <c r="B62" s="388"/>
      <c r="C62" s="388"/>
      <c r="D62" s="388"/>
      <c r="E62" s="388"/>
      <c r="F62" s="388"/>
      <c r="G62" s="139"/>
      <c r="H62" s="140"/>
      <c r="I62" s="141"/>
    </row>
    <row r="63" spans="1:9" x14ac:dyDescent="0.3">
      <c r="A63" s="387"/>
      <c r="B63" s="388"/>
      <c r="C63" s="388"/>
      <c r="D63" s="388"/>
      <c r="E63" s="388"/>
      <c r="F63" s="388"/>
      <c r="G63" s="139"/>
      <c r="H63" s="140"/>
      <c r="I63" s="141"/>
    </row>
    <row r="64" spans="1:9" x14ac:dyDescent="0.3">
      <c r="A64" s="387"/>
      <c r="B64" s="388"/>
      <c r="C64" s="388"/>
      <c r="D64" s="388"/>
      <c r="E64" s="388"/>
      <c r="F64" s="388"/>
      <c r="G64" s="139"/>
      <c r="H64" s="140"/>
      <c r="I64" s="141"/>
    </row>
    <row r="65" spans="1:9" ht="15" thickBot="1" x14ac:dyDescent="0.35">
      <c r="A65" s="389"/>
      <c r="B65" s="390"/>
      <c r="C65" s="390"/>
      <c r="D65" s="390"/>
      <c r="E65" s="390"/>
      <c r="F65" s="390"/>
      <c r="G65" s="136"/>
      <c r="H65" s="137"/>
      <c r="I65" s="138"/>
    </row>
    <row r="66" spans="1:9" x14ac:dyDescent="0.3">
      <c r="A66" s="391"/>
      <c r="B66" s="392"/>
      <c r="C66" s="392"/>
      <c r="D66" s="392"/>
      <c r="E66" s="392"/>
      <c r="F66" s="392"/>
      <c r="G66" s="133"/>
      <c r="H66" s="134"/>
      <c r="I66" s="135"/>
    </row>
    <row r="67" spans="1:9" x14ac:dyDescent="0.3">
      <c r="A67" s="387"/>
      <c r="B67" s="388"/>
      <c r="C67" s="388"/>
      <c r="D67" s="388"/>
      <c r="E67" s="388"/>
      <c r="F67" s="388"/>
      <c r="G67" s="139"/>
      <c r="H67" s="140"/>
      <c r="I67" s="141"/>
    </row>
    <row r="68" spans="1:9" x14ac:dyDescent="0.3">
      <c r="A68" s="387"/>
      <c r="B68" s="388"/>
      <c r="C68" s="388"/>
      <c r="D68" s="388"/>
      <c r="E68" s="388"/>
      <c r="F68" s="388"/>
      <c r="G68" s="139"/>
      <c r="H68" s="140"/>
      <c r="I68" s="141"/>
    </row>
    <row r="69" spans="1:9" x14ac:dyDescent="0.3">
      <c r="A69" s="387"/>
      <c r="B69" s="388"/>
      <c r="C69" s="388"/>
      <c r="D69" s="388"/>
      <c r="E69" s="388"/>
      <c r="F69" s="388"/>
      <c r="G69" s="139"/>
      <c r="H69" s="140"/>
      <c r="I69" s="141"/>
    </row>
    <row r="70" spans="1:9" x14ac:dyDescent="0.3">
      <c r="A70" s="387"/>
      <c r="B70" s="388"/>
      <c r="C70" s="388"/>
      <c r="D70" s="388"/>
      <c r="E70" s="388"/>
      <c r="F70" s="388"/>
      <c r="G70" s="139"/>
      <c r="H70" s="140"/>
      <c r="I70" s="141"/>
    </row>
    <row r="71" spans="1:9" ht="15" thickBot="1" x14ac:dyDescent="0.35">
      <c r="A71" s="389"/>
      <c r="B71" s="390"/>
      <c r="C71" s="390"/>
      <c r="D71" s="390"/>
      <c r="E71" s="390"/>
      <c r="F71" s="390"/>
      <c r="G71" s="136"/>
      <c r="H71" s="137"/>
      <c r="I71" s="138"/>
    </row>
    <row r="72" spans="1:9" x14ac:dyDescent="0.3">
      <c r="A72" s="391"/>
      <c r="B72" s="392"/>
      <c r="C72" s="392"/>
      <c r="D72" s="392"/>
      <c r="E72" s="392"/>
      <c r="F72" s="392"/>
      <c r="G72" s="133"/>
      <c r="H72" s="134"/>
      <c r="I72" s="135"/>
    </row>
    <row r="73" spans="1:9" x14ac:dyDescent="0.3">
      <c r="A73" s="387"/>
      <c r="B73" s="388"/>
      <c r="C73" s="388"/>
      <c r="D73" s="388"/>
      <c r="E73" s="388"/>
      <c r="F73" s="388"/>
      <c r="G73" s="139"/>
      <c r="H73" s="140"/>
      <c r="I73" s="141"/>
    </row>
    <row r="74" spans="1:9" x14ac:dyDescent="0.3">
      <c r="A74" s="387"/>
      <c r="B74" s="388"/>
      <c r="C74" s="388"/>
      <c r="D74" s="388"/>
      <c r="E74" s="388"/>
      <c r="F74" s="388"/>
      <c r="G74" s="139"/>
      <c r="H74" s="140"/>
      <c r="I74" s="141"/>
    </row>
    <row r="75" spans="1:9" x14ac:dyDescent="0.3">
      <c r="A75" s="387"/>
      <c r="B75" s="388"/>
      <c r="C75" s="388"/>
      <c r="D75" s="388"/>
      <c r="E75" s="388"/>
      <c r="F75" s="388"/>
      <c r="G75" s="139"/>
      <c r="H75" s="140"/>
      <c r="I75" s="141"/>
    </row>
    <row r="76" spans="1:9" x14ac:dyDescent="0.3">
      <c r="A76" s="387"/>
      <c r="B76" s="388"/>
      <c r="C76" s="388"/>
      <c r="D76" s="388"/>
      <c r="E76" s="388"/>
      <c r="F76" s="388"/>
      <c r="G76" s="139"/>
      <c r="H76" s="140"/>
      <c r="I76" s="141"/>
    </row>
    <row r="77" spans="1:9" ht="15" thickBot="1" x14ac:dyDescent="0.35">
      <c r="A77" s="389"/>
      <c r="B77" s="390"/>
      <c r="C77" s="390"/>
      <c r="D77" s="390"/>
      <c r="E77" s="390"/>
      <c r="F77" s="390"/>
      <c r="G77" s="136"/>
      <c r="H77" s="137"/>
      <c r="I77" s="138"/>
    </row>
    <row r="78" spans="1:9" x14ac:dyDescent="0.3">
      <c r="A78" s="391"/>
      <c r="B78" s="392"/>
      <c r="C78" s="392"/>
      <c r="D78" s="392"/>
      <c r="E78" s="392"/>
      <c r="F78" s="392"/>
      <c r="G78" s="133"/>
      <c r="H78" s="134"/>
      <c r="I78" s="135"/>
    </row>
    <row r="79" spans="1:9" x14ac:dyDescent="0.3">
      <c r="A79" s="387"/>
      <c r="B79" s="388"/>
      <c r="C79" s="388"/>
      <c r="D79" s="388"/>
      <c r="E79" s="388"/>
      <c r="F79" s="388"/>
      <c r="G79" s="139"/>
      <c r="H79" s="140"/>
      <c r="I79" s="141"/>
    </row>
    <row r="80" spans="1:9" x14ac:dyDescent="0.3">
      <c r="A80" s="387"/>
      <c r="B80" s="388"/>
      <c r="C80" s="388"/>
      <c r="D80" s="388"/>
      <c r="E80" s="388"/>
      <c r="F80" s="388"/>
      <c r="G80" s="139"/>
      <c r="H80" s="140"/>
      <c r="I80" s="141"/>
    </row>
    <row r="81" spans="1:9" x14ac:dyDescent="0.3">
      <c r="A81" s="387"/>
      <c r="B81" s="388"/>
      <c r="C81" s="388"/>
      <c r="D81" s="388"/>
      <c r="E81" s="388"/>
      <c r="F81" s="388"/>
      <c r="G81" s="139"/>
      <c r="H81" s="140"/>
      <c r="I81" s="141"/>
    </row>
    <row r="82" spans="1:9" x14ac:dyDescent="0.3">
      <c r="A82" s="387"/>
      <c r="B82" s="388"/>
      <c r="C82" s="388"/>
      <c r="D82" s="388"/>
      <c r="E82" s="388"/>
      <c r="F82" s="388"/>
      <c r="G82" s="139"/>
      <c r="H82" s="140"/>
      <c r="I82" s="141"/>
    </row>
    <row r="83" spans="1:9" ht="15" thickBot="1" x14ac:dyDescent="0.35">
      <c r="A83" s="389"/>
      <c r="B83" s="390"/>
      <c r="C83" s="390"/>
      <c r="D83" s="390"/>
      <c r="E83" s="390"/>
      <c r="F83" s="390"/>
      <c r="G83" s="136"/>
      <c r="H83" s="137"/>
      <c r="I83" s="138"/>
    </row>
    <row r="84" spans="1:9" x14ac:dyDescent="0.3">
      <c r="A84" s="391"/>
      <c r="B84" s="392"/>
      <c r="C84" s="392"/>
      <c r="D84" s="392"/>
      <c r="E84" s="392"/>
      <c r="F84" s="392"/>
      <c r="G84" s="133"/>
      <c r="H84" s="134"/>
      <c r="I84" s="135"/>
    </row>
    <row r="85" spans="1:9" x14ac:dyDescent="0.3">
      <c r="A85" s="387"/>
      <c r="B85" s="388"/>
      <c r="C85" s="388"/>
      <c r="D85" s="388"/>
      <c r="E85" s="388"/>
      <c r="F85" s="388"/>
      <c r="G85" s="139"/>
      <c r="H85" s="140"/>
      <c r="I85" s="141"/>
    </row>
    <row r="86" spans="1:9" x14ac:dyDescent="0.3">
      <c r="A86" s="387"/>
      <c r="B86" s="388"/>
      <c r="C86" s="388"/>
      <c r="D86" s="388"/>
      <c r="E86" s="388"/>
      <c r="F86" s="388"/>
      <c r="G86" s="139"/>
      <c r="H86" s="140"/>
      <c r="I86" s="141"/>
    </row>
    <row r="87" spans="1:9" x14ac:dyDescent="0.3">
      <c r="A87" s="387"/>
      <c r="B87" s="388"/>
      <c r="C87" s="388"/>
      <c r="D87" s="388"/>
      <c r="E87" s="388"/>
      <c r="F87" s="388"/>
      <c r="G87" s="139"/>
      <c r="H87" s="140"/>
      <c r="I87" s="141"/>
    </row>
    <row r="88" spans="1:9" x14ac:dyDescent="0.3">
      <c r="A88" s="387"/>
      <c r="B88" s="388"/>
      <c r="C88" s="388"/>
      <c r="D88" s="388"/>
      <c r="E88" s="388"/>
      <c r="F88" s="388"/>
      <c r="G88" s="139"/>
      <c r="H88" s="140"/>
      <c r="I88" s="141"/>
    </row>
    <row r="89" spans="1:9" ht="15" thickBot="1" x14ac:dyDescent="0.35">
      <c r="A89" s="389"/>
      <c r="B89" s="390"/>
      <c r="C89" s="390"/>
      <c r="D89" s="390"/>
      <c r="E89" s="390"/>
      <c r="F89" s="390"/>
      <c r="G89" s="136"/>
      <c r="H89" s="137"/>
      <c r="I89" s="138"/>
    </row>
    <row r="90" spans="1:9" x14ac:dyDescent="0.3">
      <c r="A90" s="391"/>
      <c r="B90" s="392"/>
      <c r="C90" s="392"/>
      <c r="D90" s="392"/>
      <c r="E90" s="392"/>
      <c r="F90" s="392"/>
      <c r="G90" s="133"/>
      <c r="H90" s="134"/>
      <c r="I90" s="135"/>
    </row>
    <row r="91" spans="1:9" x14ac:dyDescent="0.3">
      <c r="A91" s="387"/>
      <c r="B91" s="388"/>
      <c r="C91" s="388"/>
      <c r="D91" s="388"/>
      <c r="E91" s="388"/>
      <c r="F91" s="388"/>
      <c r="G91" s="139"/>
      <c r="H91" s="140"/>
      <c r="I91" s="141"/>
    </row>
    <row r="92" spans="1:9" x14ac:dyDescent="0.3">
      <c r="A92" s="387"/>
      <c r="B92" s="388"/>
      <c r="C92" s="388"/>
      <c r="D92" s="388"/>
      <c r="E92" s="388"/>
      <c r="F92" s="388"/>
      <c r="G92" s="139"/>
      <c r="H92" s="140"/>
      <c r="I92" s="141"/>
    </row>
    <row r="93" spans="1:9" ht="15" thickBot="1" x14ac:dyDescent="0.35">
      <c r="A93" s="389"/>
      <c r="B93" s="390"/>
      <c r="C93" s="390"/>
      <c r="D93" s="390"/>
      <c r="E93" s="390"/>
      <c r="F93" s="390"/>
      <c r="G93" s="136"/>
      <c r="H93" s="137"/>
      <c r="I93" s="138"/>
    </row>
    <row r="94" spans="1:9" x14ac:dyDescent="0.3">
      <c r="A94" s="391"/>
      <c r="B94" s="392"/>
      <c r="C94" s="392"/>
      <c r="D94" s="392"/>
      <c r="E94" s="392"/>
      <c r="F94" s="392"/>
      <c r="G94" s="133"/>
      <c r="H94" s="134"/>
      <c r="I94" s="135"/>
    </row>
    <row r="95" spans="1:9" x14ac:dyDescent="0.3">
      <c r="A95" s="387"/>
      <c r="B95" s="388"/>
      <c r="C95" s="388"/>
      <c r="D95" s="388"/>
      <c r="E95" s="388"/>
      <c r="F95" s="388"/>
      <c r="G95" s="139"/>
      <c r="H95" s="140"/>
      <c r="I95" s="141"/>
    </row>
    <row r="96" spans="1:9" ht="15" thickBot="1" x14ac:dyDescent="0.35">
      <c r="A96" s="389"/>
      <c r="B96" s="390"/>
      <c r="C96" s="390"/>
      <c r="D96" s="390"/>
      <c r="E96" s="390"/>
      <c r="F96" s="390"/>
      <c r="G96" s="136"/>
      <c r="H96" s="137"/>
      <c r="I96" s="138"/>
    </row>
    <row r="97" spans="1:9" ht="15" thickBot="1" x14ac:dyDescent="0.35">
      <c r="A97" s="384" t="s">
        <v>918</v>
      </c>
      <c r="B97" s="385"/>
      <c r="C97" s="385"/>
      <c r="D97" s="385"/>
      <c r="E97" s="385"/>
      <c r="F97" s="385"/>
      <c r="G97" s="385"/>
      <c r="H97" s="385"/>
      <c r="I97" s="386"/>
    </row>
    <row r="98" spans="1:9" x14ac:dyDescent="0.3">
      <c r="A98" s="142" t="s">
        <v>919</v>
      </c>
      <c r="B98" s="143" t="s">
        <v>914</v>
      </c>
      <c r="C98" s="144" t="s">
        <v>920</v>
      </c>
      <c r="D98" s="145" t="s">
        <v>921</v>
      </c>
      <c r="E98" s="393"/>
      <c r="F98" s="393"/>
      <c r="G98" s="393"/>
      <c r="H98" s="393"/>
      <c r="I98" s="394"/>
    </row>
    <row r="99" spans="1:9" x14ac:dyDescent="0.3">
      <c r="A99" s="110"/>
      <c r="B99" s="146"/>
      <c r="C99" s="110"/>
      <c r="D99" s="110"/>
      <c r="E99" s="393"/>
      <c r="F99" s="393"/>
      <c r="G99" s="393"/>
      <c r="H99" s="393"/>
      <c r="I99" s="394"/>
    </row>
    <row r="100" spans="1:9" x14ac:dyDescent="0.3">
      <c r="A100" s="110"/>
      <c r="B100" s="146"/>
      <c r="C100" s="110"/>
      <c r="D100" s="110"/>
      <c r="E100" s="393"/>
      <c r="F100" s="393"/>
      <c r="G100" s="393"/>
      <c r="H100" s="393"/>
      <c r="I100" s="394"/>
    </row>
    <row r="101" spans="1:9" x14ac:dyDescent="0.3">
      <c r="A101" s="110"/>
      <c r="B101" s="146"/>
      <c r="C101" s="110"/>
      <c r="D101" s="110"/>
      <c r="E101" s="393"/>
      <c r="F101" s="393"/>
      <c r="G101" s="393"/>
      <c r="H101" s="393"/>
      <c r="I101" s="394"/>
    </row>
    <row r="102" spans="1:9" x14ac:dyDescent="0.3">
      <c r="A102" s="110"/>
      <c r="B102" s="146"/>
      <c r="C102" s="110"/>
      <c r="D102" s="110"/>
      <c r="E102" s="393"/>
      <c r="F102" s="393"/>
      <c r="G102" s="393"/>
      <c r="H102" s="393"/>
      <c r="I102" s="394"/>
    </row>
    <row r="103" spans="1:9" x14ac:dyDescent="0.3">
      <c r="A103" s="110"/>
      <c r="B103" s="146"/>
      <c r="C103" s="110"/>
      <c r="D103" s="110"/>
      <c r="E103" s="393"/>
      <c r="F103" s="393"/>
      <c r="G103" s="393"/>
      <c r="H103" s="393"/>
      <c r="I103" s="394"/>
    </row>
    <row r="104" spans="1:9" x14ac:dyDescent="0.3">
      <c r="A104" s="110"/>
      <c r="B104" s="146"/>
      <c r="C104" s="110"/>
      <c r="D104" s="110"/>
      <c r="E104" s="393"/>
      <c r="F104" s="393"/>
      <c r="G104" s="393"/>
      <c r="H104" s="393"/>
      <c r="I104" s="394"/>
    </row>
    <row r="105" spans="1:9" x14ac:dyDescent="0.3">
      <c r="A105" s="110"/>
      <c r="B105" s="146"/>
      <c r="C105" s="110"/>
      <c r="D105" s="110"/>
      <c r="E105" s="393"/>
      <c r="F105" s="393"/>
      <c r="G105" s="393"/>
      <c r="H105" s="393"/>
      <c r="I105" s="394"/>
    </row>
    <row r="106" spans="1:9" x14ac:dyDescent="0.3">
      <c r="A106" s="110"/>
      <c r="B106" s="146"/>
      <c r="C106" s="110"/>
      <c r="D106" s="110"/>
      <c r="E106" s="393"/>
      <c r="F106" s="393"/>
      <c r="G106" s="393"/>
      <c r="H106" s="393"/>
      <c r="I106" s="394"/>
    </row>
    <row r="107" spans="1:9" x14ac:dyDescent="0.3">
      <c r="A107" s="110"/>
      <c r="B107" s="146"/>
      <c r="C107" s="110"/>
      <c r="D107" s="110"/>
      <c r="E107" s="393"/>
      <c r="F107" s="393"/>
      <c r="G107" s="393"/>
      <c r="H107" s="393"/>
      <c r="I107" s="394"/>
    </row>
    <row r="108" spans="1:9" x14ac:dyDescent="0.3">
      <c r="A108" s="110"/>
      <c r="B108" s="146"/>
      <c r="C108" s="110"/>
      <c r="D108" s="110"/>
      <c r="E108" s="393"/>
      <c r="F108" s="393"/>
      <c r="G108" s="393"/>
      <c r="H108" s="393"/>
      <c r="I108" s="394"/>
    </row>
    <row r="109" spans="1:9" x14ac:dyDescent="0.3">
      <c r="A109" s="110"/>
      <c r="B109" s="146"/>
      <c r="C109" s="110"/>
      <c r="D109" s="110"/>
      <c r="E109" s="393"/>
      <c r="F109" s="393"/>
      <c r="G109" s="393"/>
      <c r="H109" s="393"/>
      <c r="I109" s="394"/>
    </row>
    <row r="110" spans="1:9" x14ac:dyDescent="0.3">
      <c r="A110" s="110"/>
      <c r="B110" s="146"/>
      <c r="C110" s="110"/>
      <c r="D110" s="110"/>
      <c r="E110" s="393"/>
      <c r="F110" s="393"/>
      <c r="G110" s="393"/>
      <c r="H110" s="393"/>
      <c r="I110" s="394"/>
    </row>
    <row r="111" spans="1:9" x14ac:dyDescent="0.3">
      <c r="A111" s="110"/>
      <c r="B111" s="146"/>
      <c r="C111" s="110"/>
      <c r="D111" s="110"/>
      <c r="E111" s="393"/>
      <c r="F111" s="393"/>
      <c r="G111" s="393"/>
      <c r="H111" s="393"/>
      <c r="I111" s="394"/>
    </row>
    <row r="112" spans="1:9" ht="15" thickBot="1" x14ac:dyDescent="0.35">
      <c r="A112" s="110"/>
      <c r="B112" s="146"/>
      <c r="C112" s="110"/>
      <c r="D112" s="110"/>
      <c r="E112" s="393"/>
      <c r="F112" s="393"/>
      <c r="G112" s="393"/>
      <c r="H112" s="393"/>
      <c r="I112" s="394"/>
    </row>
    <row r="113" spans="1:9" ht="15" thickBot="1" x14ac:dyDescent="0.35">
      <c r="A113" s="384" t="s">
        <v>1</v>
      </c>
      <c r="B113" s="385"/>
      <c r="C113" s="385"/>
      <c r="D113" s="385"/>
      <c r="E113" s="385"/>
      <c r="F113" s="385"/>
      <c r="G113" s="385"/>
      <c r="H113" s="385"/>
      <c r="I113" s="386"/>
    </row>
    <row r="114" spans="1:9" ht="15" thickBot="1" x14ac:dyDescent="0.35">
      <c r="A114" s="363" t="s">
        <v>922</v>
      </c>
      <c r="B114" s="364"/>
      <c r="C114" s="365" t="s">
        <v>853</v>
      </c>
      <c r="D114" s="366"/>
      <c r="E114" s="366"/>
      <c r="F114" s="366"/>
      <c r="G114" s="366"/>
      <c r="H114" s="366"/>
      <c r="I114" s="367"/>
    </row>
    <row r="115" spans="1:9" x14ac:dyDescent="0.3">
      <c r="A115" s="368" t="s">
        <v>923</v>
      </c>
      <c r="B115" s="369"/>
      <c r="C115" s="372"/>
      <c r="D115" s="372"/>
      <c r="E115" s="372"/>
      <c r="F115" s="372"/>
      <c r="G115" s="372"/>
      <c r="H115" s="372"/>
      <c r="I115" s="373"/>
    </row>
    <row r="116" spans="1:9" ht="15" thickBot="1" x14ac:dyDescent="0.35">
      <c r="A116" s="370"/>
      <c r="B116" s="371"/>
      <c r="C116" s="374"/>
      <c r="D116" s="374"/>
      <c r="E116" s="374"/>
      <c r="F116" s="374"/>
      <c r="G116" s="374"/>
      <c r="H116" s="374"/>
      <c r="I116" s="375"/>
    </row>
    <row r="117" spans="1:9" x14ac:dyDescent="0.3">
      <c r="A117" s="376" t="s">
        <v>924</v>
      </c>
      <c r="B117" s="377"/>
      <c r="C117" s="147" t="s">
        <v>925</v>
      </c>
      <c r="D117" s="148"/>
      <c r="E117" s="148"/>
      <c r="F117" s="148"/>
      <c r="G117" s="148"/>
      <c r="H117" s="148"/>
      <c r="I117" s="149"/>
    </row>
    <row r="118" spans="1:9" x14ac:dyDescent="0.3">
      <c r="A118" s="376"/>
      <c r="B118" s="377"/>
      <c r="C118" s="147" t="s">
        <v>926</v>
      </c>
      <c r="D118" s="148"/>
      <c r="E118" s="148"/>
      <c r="F118" s="148"/>
      <c r="G118" s="148"/>
      <c r="H118" s="148"/>
      <c r="I118" s="149"/>
    </row>
    <row r="119" spans="1:9" x14ac:dyDescent="0.3">
      <c r="A119" s="376"/>
      <c r="B119" s="377"/>
      <c r="C119" s="380" t="s">
        <v>927</v>
      </c>
      <c r="D119" s="381"/>
      <c r="E119" s="381"/>
      <c r="F119" s="381"/>
      <c r="G119" s="381"/>
      <c r="H119" s="381"/>
      <c r="I119" s="382"/>
    </row>
    <row r="120" spans="1:9" x14ac:dyDescent="0.3">
      <c r="A120" s="376"/>
      <c r="B120" s="377"/>
      <c r="C120" s="380"/>
      <c r="D120" s="381"/>
      <c r="E120" s="381"/>
      <c r="F120" s="381"/>
      <c r="G120" s="381"/>
      <c r="H120" s="381"/>
      <c r="I120" s="382"/>
    </row>
    <row r="121" spans="1:9" ht="15" thickBot="1" x14ac:dyDescent="0.35">
      <c r="A121" s="378"/>
      <c r="B121" s="379"/>
      <c r="C121" s="383"/>
      <c r="D121" s="374"/>
      <c r="E121" s="374"/>
      <c r="F121" s="374"/>
      <c r="G121" s="374"/>
      <c r="H121" s="374"/>
      <c r="I121" s="375"/>
    </row>
  </sheetData>
  <mergeCells count="98">
    <mergeCell ref="A1:B1"/>
    <mergeCell ref="D1:I1"/>
    <mergeCell ref="A2:B2"/>
    <mergeCell ref="D2:I2"/>
    <mergeCell ref="A3:B3"/>
    <mergeCell ref="D3:I3"/>
    <mergeCell ref="F22:I22"/>
    <mergeCell ref="A4:B4"/>
    <mergeCell ref="D4:I4"/>
    <mergeCell ref="A5:B5"/>
    <mergeCell ref="D5:I5"/>
    <mergeCell ref="A6:I6"/>
    <mergeCell ref="A16:I16"/>
    <mergeCell ref="F17:I17"/>
    <mergeCell ref="F18:I18"/>
    <mergeCell ref="F19:I19"/>
    <mergeCell ref="F20:I20"/>
    <mergeCell ref="F21:I21"/>
    <mergeCell ref="A39:F39"/>
    <mergeCell ref="F26:I26"/>
    <mergeCell ref="F27:I27"/>
    <mergeCell ref="F28:I28"/>
    <mergeCell ref="F29:I29"/>
    <mergeCell ref="F33:I33"/>
    <mergeCell ref="F34:I34"/>
    <mergeCell ref="F35:I35"/>
    <mergeCell ref="F36:I36"/>
    <mergeCell ref="A37:I37"/>
    <mergeCell ref="A38:F38"/>
    <mergeCell ref="H38:I38"/>
    <mergeCell ref="A51:F51"/>
    <mergeCell ref="A40:F40"/>
    <mergeCell ref="A41:F41"/>
    <mergeCell ref="A42:F42"/>
    <mergeCell ref="A43:F43"/>
    <mergeCell ref="A44:F44"/>
    <mergeCell ref="A45:F45"/>
    <mergeCell ref="A46:F46"/>
    <mergeCell ref="A47:F47"/>
    <mergeCell ref="A48:F48"/>
    <mergeCell ref="A49:F49"/>
    <mergeCell ref="A50:F50"/>
    <mergeCell ref="A63:F63"/>
    <mergeCell ref="A52:F52"/>
    <mergeCell ref="A53:F53"/>
    <mergeCell ref="A54:F54"/>
    <mergeCell ref="A55:F55"/>
    <mergeCell ref="A56:F56"/>
    <mergeCell ref="A57:F57"/>
    <mergeCell ref="A58:F58"/>
    <mergeCell ref="A59:F59"/>
    <mergeCell ref="A60:F60"/>
    <mergeCell ref="A61:F61"/>
    <mergeCell ref="A62:F62"/>
    <mergeCell ref="A75:F75"/>
    <mergeCell ref="A64:F64"/>
    <mergeCell ref="A65:F65"/>
    <mergeCell ref="A66:F66"/>
    <mergeCell ref="A67:F67"/>
    <mergeCell ref="A68:F68"/>
    <mergeCell ref="A69:F69"/>
    <mergeCell ref="A70:F70"/>
    <mergeCell ref="A71:F71"/>
    <mergeCell ref="A72:F72"/>
    <mergeCell ref="A73:F73"/>
    <mergeCell ref="A74:F74"/>
    <mergeCell ref="A87:F87"/>
    <mergeCell ref="A76:F76"/>
    <mergeCell ref="A77:F77"/>
    <mergeCell ref="A78:F78"/>
    <mergeCell ref="A79:F79"/>
    <mergeCell ref="A80:F80"/>
    <mergeCell ref="A81:F81"/>
    <mergeCell ref="A82:F82"/>
    <mergeCell ref="A83:F83"/>
    <mergeCell ref="A84:F84"/>
    <mergeCell ref="A85:F85"/>
    <mergeCell ref="A86:F86"/>
    <mergeCell ref="A113:I113"/>
    <mergeCell ref="A88:F88"/>
    <mergeCell ref="A89:F89"/>
    <mergeCell ref="A90:F90"/>
    <mergeCell ref="A91:F91"/>
    <mergeCell ref="A92:F92"/>
    <mergeCell ref="A93:F93"/>
    <mergeCell ref="A94:F94"/>
    <mergeCell ref="A95:F95"/>
    <mergeCell ref="A96:F96"/>
    <mergeCell ref="A97:I97"/>
    <mergeCell ref="E98:I112"/>
    <mergeCell ref="A114:B114"/>
    <mergeCell ref="C114:I114"/>
    <mergeCell ref="A115:B116"/>
    <mergeCell ref="C115:I116"/>
    <mergeCell ref="A117:B121"/>
    <mergeCell ref="C119:I119"/>
    <mergeCell ref="C120:I120"/>
    <mergeCell ref="C121:I12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2CAC79-DDCA-4DEE-B78D-A86C424584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WTP</vt:lpstr>
      <vt:lpstr>Internal</vt:lpstr>
      <vt:lpstr>External</vt:lpstr>
      <vt:lpstr>Sheet1</vt:lpstr>
      <vt:lpstr>External!Print_Area</vt:lpstr>
      <vt:lpstr>Internal!Print_Area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Morne</dc:creator>
  <cp:lastModifiedBy>Tinus Spangenberg</cp:lastModifiedBy>
  <cp:lastPrinted>2020-07-29T14:58:01Z</cp:lastPrinted>
  <dcterms:created xsi:type="dcterms:W3CDTF">2017-06-26T10:30:34Z</dcterms:created>
  <dcterms:modified xsi:type="dcterms:W3CDTF">2020-10-07T14:17:21Z</dcterms:modified>
</cp:coreProperties>
</file>